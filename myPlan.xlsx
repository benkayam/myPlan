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תוכנית עבודה\2026\Q1\איילה\"/>
    </mc:Choice>
  </mc:AlternateContent>
  <xr:revisionPtr revIDLastSave="0" documentId="8_{78210DF3-AC9B-47FE-B51E-EB6182151779}" xr6:coauthVersionLast="47" xr6:coauthVersionMax="47" xr10:uidLastSave="{00000000-0000-0000-0000-000000000000}"/>
  <bookViews>
    <workbookView xWindow="19080" yWindow="-120" windowWidth="29040" windowHeight="15720" tabRatio="474" xr2:uid="{00000000-000D-0000-FFFF-FFFF00000000}"/>
  </bookViews>
  <sheets>
    <sheet name="נריה ג'פרי" sheetId="8" r:id="rId1"/>
    <sheet name="חן כהן" sheetId="3" r:id="rId2"/>
    <sheet name="אלי מהאודי" sheetId="2" state="hidden" r:id="rId3"/>
    <sheet name="נטלי ששון" sheetId="4" r:id="rId4"/>
    <sheet name="אירינה קרלש" sheetId="1" r:id="rId5"/>
    <sheet name="יוסף אסייג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9" l="1"/>
  <c r="J14" i="1"/>
  <c r="D11" i="1"/>
  <c r="E10" i="1"/>
  <c r="D10" i="1"/>
  <c r="E9" i="1"/>
  <c r="D9" i="1"/>
  <c r="E8" i="1"/>
  <c r="J8" i="1" s="1"/>
  <c r="D8" i="1"/>
  <c r="E18" i="3"/>
  <c r="D18" i="3"/>
  <c r="E17" i="3"/>
  <c r="D17" i="3"/>
  <c r="E16" i="3"/>
  <c r="D16" i="3"/>
  <c r="E15" i="3"/>
  <c r="D15" i="3"/>
  <c r="D24" i="3"/>
  <c r="D23" i="3"/>
  <c r="D22" i="3"/>
  <c r="J21" i="3"/>
  <c r="D21" i="3"/>
  <c r="D17" i="1"/>
  <c r="D16" i="1"/>
  <c r="D15" i="1"/>
  <c r="D14" i="1"/>
  <c r="D24" i="4"/>
  <c r="D23" i="4"/>
  <c r="D22" i="4"/>
  <c r="J21" i="4"/>
  <c r="D21" i="4"/>
  <c r="J15" i="3" l="1"/>
  <c r="D15" i="4" l="1"/>
  <c r="E15" i="4"/>
  <c r="D16" i="4"/>
  <c r="E16" i="4"/>
  <c r="D17" i="4"/>
  <c r="E17" i="4"/>
  <c r="D18" i="4"/>
  <c r="E18" i="4"/>
  <c r="D24" i="9"/>
  <c r="D23" i="9"/>
  <c r="D22" i="9"/>
  <c r="D21" i="9"/>
  <c r="D18" i="9"/>
  <c r="E17" i="9"/>
  <c r="D17" i="9"/>
  <c r="E16" i="9"/>
  <c r="D16" i="9"/>
  <c r="E15" i="9"/>
  <c r="J15" i="9" s="1"/>
  <c r="D15" i="9"/>
  <c r="E12" i="9"/>
  <c r="D12" i="9"/>
  <c r="E11" i="9"/>
  <c r="D11" i="9"/>
  <c r="E10" i="9"/>
  <c r="D10" i="9"/>
  <c r="E9" i="9"/>
  <c r="J9" i="9" s="1"/>
  <c r="D9" i="9"/>
  <c r="E6" i="9"/>
  <c r="D6" i="9"/>
  <c r="E5" i="9"/>
  <c r="D5" i="9"/>
  <c r="E4" i="9"/>
  <c r="D4" i="9"/>
  <c r="E3" i="9"/>
  <c r="J3" i="9" s="1"/>
  <c r="D3" i="9"/>
  <c r="D4" i="8"/>
  <c r="D5" i="8"/>
  <c r="D6" i="8"/>
  <c r="D3" i="8"/>
  <c r="D15" i="8"/>
  <c r="D16" i="8"/>
  <c r="D17" i="8"/>
  <c r="D18" i="8"/>
  <c r="E16" i="8"/>
  <c r="E17" i="8"/>
  <c r="E15" i="8"/>
  <c r="D22" i="8"/>
  <c r="D23" i="8"/>
  <c r="D24" i="8"/>
  <c r="D21" i="8"/>
  <c r="E12" i="8"/>
  <c r="D12" i="8"/>
  <c r="E11" i="8"/>
  <c r="D11" i="8"/>
  <c r="E10" i="8"/>
  <c r="D10" i="8"/>
  <c r="E9" i="8"/>
  <c r="D9" i="8"/>
  <c r="D12" i="3"/>
  <c r="E11" i="3"/>
  <c r="E10" i="3"/>
  <c r="D10" i="3"/>
  <c r="E9" i="3"/>
  <c r="D9" i="3"/>
  <c r="D6" i="3"/>
  <c r="E5" i="3"/>
  <c r="E4" i="3"/>
  <c r="D4" i="3"/>
  <c r="E3" i="3"/>
  <c r="D3" i="3"/>
  <c r="D12" i="4"/>
  <c r="E11" i="4"/>
  <c r="E10" i="4"/>
  <c r="D10" i="4"/>
  <c r="E9" i="4"/>
  <c r="D9" i="4"/>
  <c r="D6" i="4"/>
  <c r="E5" i="4"/>
  <c r="E4" i="4"/>
  <c r="D4" i="4"/>
  <c r="E3" i="4"/>
  <c r="J3" i="4" s="1"/>
  <c r="D3" i="4"/>
  <c r="D5" i="1"/>
  <c r="D3" i="1"/>
  <c r="D4" i="1"/>
  <c r="D2" i="1"/>
  <c r="E4" i="1"/>
  <c r="E3" i="1"/>
  <c r="E2" i="1"/>
  <c r="J2" i="1" s="1"/>
  <c r="E6" i="8"/>
  <c r="E5" i="8"/>
  <c r="E4" i="8"/>
  <c r="E3" i="8"/>
  <c r="F2" i="2"/>
  <c r="G2" i="2"/>
  <c r="H2" i="2"/>
  <c r="E17" i="2"/>
  <c r="L13" i="2"/>
  <c r="E12" i="2"/>
  <c r="L8" i="2"/>
  <c r="J15" i="4" l="1"/>
  <c r="J15" i="8"/>
  <c r="J21" i="8"/>
  <c r="J9" i="8"/>
  <c r="J3" i="3"/>
  <c r="J9" i="3"/>
  <c r="J9" i="4"/>
  <c r="L2" i="2"/>
  <c r="E2" i="2"/>
</calcChain>
</file>

<file path=xl/sharedStrings.xml><?xml version="1.0" encoding="utf-8"?>
<sst xmlns="http://schemas.openxmlformats.org/spreadsheetml/2006/main" count="232" uniqueCount="38">
  <si>
    <t xml:space="preserve">תמיכה בתקלות - </t>
  </si>
  <si>
    <t>העברה לqa</t>
  </si>
  <si>
    <t>אינטגרציה</t>
  </si>
  <si>
    <t>תקצוב בפועל</t>
  </si>
  <si>
    <t>תקצוב מקורי</t>
  </si>
  <si>
    <t>עמידה בלוז - רמזור</t>
  </si>
  <si>
    <t>הערות</t>
  </si>
  <si>
    <t>תאריך סיום</t>
  </si>
  <si>
    <t>תאריך התחלה</t>
  </si>
  <si>
    <t>Effort</t>
  </si>
  <si>
    <t>Duration</t>
  </si>
  <si>
    <t>אחוז משרה</t>
  </si>
  <si>
    <t>תתי-משימה</t>
  </si>
  <si>
    <t>משימה</t>
  </si>
  <si>
    <t>דרישה</t>
  </si>
  <si>
    <t>פיתוח</t>
  </si>
  <si>
    <t>איפיון</t>
  </si>
  <si>
    <t>תחזוקה</t>
  </si>
  <si>
    <t>RQ-79193</t>
  </si>
  <si>
    <t>עדכון ת.ז</t>
  </si>
  <si>
    <t>השלמת מסכי שגיאה</t>
  </si>
  <si>
    <t>תמיכה בתקלות</t>
  </si>
  <si>
    <t>פיתוח מיקס פאנל + אינטגרציה</t>
  </si>
  <si>
    <t>RQ-79189</t>
  </si>
  <si>
    <t>הטמעת SDK חדש של טרנסמיט באנדרואיד</t>
  </si>
  <si>
    <t>מוצרי שוק הכסף שלי - נבת 447A - התממשקות ל-webview</t>
  </si>
  <si>
    <t>RQ-79798</t>
  </si>
  <si>
    <t>הזמנת פנקס שיקים : מתן אפשרות למשלוח לבית הלקוח</t>
  </si>
  <si>
    <t>DEV-179984  - שפעול פנקס שיקים באפליקציה</t>
  </si>
  <si>
    <t>DEV-213697 - נקודה אדומה (כמות בקשות שהגיעו מבנקאות פתוחה במסך)</t>
  </si>
  <si>
    <t>RQ-77105</t>
  </si>
  <si>
    <t>טיפול בתקלות ייצור</t>
  </si>
  <si>
    <t>גרסת גולדן 18 ינואר</t>
  </si>
  <si>
    <t>RQ-77093</t>
  </si>
  <si>
    <t>DEV-180946 פירוט משימות פיתוח אדוויסמי</t>
  </si>
  <si>
    <t>RQ-76926</t>
  </si>
  <si>
    <t>העברות מיידיות</t>
  </si>
  <si>
    <t>DEV-135244 העברה מהסלולר יבוצע כהעברה מיידית - אפליקציה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</si>
</sst>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</font>
    <font>
      <sz val="28"/>
      <color theme="1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7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/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/>
      <top style="medium">
        <color indexed="64"/>
      </top>
      <bottom style="thin">
        <color rgb="FFB2B2B2"/>
      </bottom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/>
      <right/>
      <top style="medium">
        <color indexed="64"/>
      </top>
      <bottom style="thin">
        <color rgb="FFB2B2B2"/>
      </bottom>
      <diagonal/>
    </border>
    <border>
      <left/>
      <right/>
      <top style="thin">
        <color rgb="FFB2B2B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B2B2B2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/>
      <bottom style="medium">
        <color indexed="64"/>
      </bottom>
      <diagonal/>
    </border>
    <border>
      <left style="thin">
        <color rgb="FFB2B2B2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rgb="FFB2B2B2"/>
      </bottom>
      <diagonal/>
    </border>
    <border>
      <left/>
      <right style="thin">
        <color indexed="64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3" fillId="0" borderId="0"/>
    <xf numFmtId="0" fontId="1" fillId="3" borderId="8" applyNumberFormat="0" applyFont="0" applyAlignment="0" applyProtection="0"/>
  </cellStyleXfs>
  <cellXfs count="159">
    <xf numFmtId="0" fontId="0" fillId="0" borderId="0" xfId="0"/>
    <xf numFmtId="0" fontId="1" fillId="0" borderId="0" xfId="2" applyAlignment="1">
      <alignment vertical="center"/>
    </xf>
    <xf numFmtId="0" fontId="1" fillId="0" borderId="0" xfId="2" applyAlignment="1">
      <alignment horizontal="center" vertical="center"/>
    </xf>
    <xf numFmtId="164" fontId="2" fillId="2" borderId="0" xfId="1" applyNumberFormat="1" applyBorder="1" applyAlignment="1">
      <alignment horizontal="center" vertical="center"/>
    </xf>
    <xf numFmtId="164" fontId="2" fillId="2" borderId="7" xfId="1" applyNumberFormat="1" applyBorder="1" applyAlignment="1">
      <alignment horizontal="center" vertical="center"/>
    </xf>
    <xf numFmtId="0" fontId="2" fillId="2" borderId="7" xfId="1" applyBorder="1" applyAlignment="1">
      <alignment horizontal="center" vertical="center" wrapText="1"/>
    </xf>
    <xf numFmtId="0" fontId="1" fillId="4" borderId="0" xfId="2" applyFill="1" applyAlignment="1">
      <alignment vertical="center"/>
    </xf>
    <xf numFmtId="16" fontId="1" fillId="4" borderId="11" xfId="4" applyNumberFormat="1" applyFill="1" applyBorder="1" applyAlignment="1">
      <alignment horizontal="center" vertical="center"/>
    </xf>
    <xf numFmtId="16" fontId="1" fillId="4" borderId="14" xfId="4" applyNumberFormat="1" applyFill="1" applyBorder="1" applyAlignment="1">
      <alignment horizontal="center" vertical="center"/>
    </xf>
    <xf numFmtId="164" fontId="2" fillId="2" borderId="6" xfId="1" applyNumberFormat="1" applyBorder="1" applyAlignment="1">
      <alignment horizontal="center" vertical="center"/>
    </xf>
    <xf numFmtId="0" fontId="1" fillId="4" borderId="12" xfId="4" applyFill="1" applyBorder="1" applyAlignment="1">
      <alignment horizontal="center" vertical="center"/>
    </xf>
    <xf numFmtId="0" fontId="1" fillId="4" borderId="16" xfId="4" applyFill="1" applyBorder="1" applyAlignment="1">
      <alignment horizontal="center" vertical="center"/>
    </xf>
    <xf numFmtId="0" fontId="1" fillId="4" borderId="10" xfId="4" applyFill="1" applyBorder="1" applyAlignment="1">
      <alignment horizontal="center" vertical="center"/>
    </xf>
    <xf numFmtId="16" fontId="1" fillId="4" borderId="10" xfId="4" applyNumberFormat="1" applyFill="1" applyBorder="1" applyAlignment="1">
      <alignment horizontal="center" vertical="center"/>
    </xf>
    <xf numFmtId="16" fontId="1" fillId="4" borderId="15" xfId="4" applyNumberFormat="1" applyFill="1" applyBorder="1" applyAlignment="1">
      <alignment horizontal="center" vertical="center"/>
    </xf>
    <xf numFmtId="0" fontId="0" fillId="4" borderId="17" xfId="4" applyFont="1" applyFill="1" applyBorder="1" applyAlignment="1">
      <alignment vertical="center"/>
    </xf>
    <xf numFmtId="0" fontId="1" fillId="4" borderId="9" xfId="4" applyFill="1" applyBorder="1" applyAlignment="1">
      <alignment vertical="center"/>
    </xf>
    <xf numFmtId="0" fontId="1" fillId="4" borderId="18" xfId="4" applyFill="1" applyBorder="1" applyAlignment="1">
      <alignment vertical="center"/>
    </xf>
    <xf numFmtId="16" fontId="1" fillId="4" borderId="13" xfId="4" applyNumberFormat="1" applyFill="1" applyBorder="1" applyAlignment="1">
      <alignment horizontal="center" vertical="center"/>
    </xf>
    <xf numFmtId="0" fontId="1" fillId="4" borderId="13" xfId="4" applyFill="1" applyBorder="1" applyAlignment="1">
      <alignment horizontal="center" vertical="center"/>
    </xf>
    <xf numFmtId="0" fontId="1" fillId="4" borderId="5" xfId="2" applyFill="1" applyBorder="1" applyAlignment="1">
      <alignment horizontal="center" vertical="center"/>
    </xf>
    <xf numFmtId="0" fontId="1" fillId="4" borderId="0" xfId="2" applyFill="1" applyBorder="1" applyAlignment="1">
      <alignment horizontal="center" vertical="center"/>
    </xf>
    <xf numFmtId="0" fontId="1" fillId="4" borderId="2" xfId="2" applyFill="1" applyBorder="1" applyAlignment="1">
      <alignment horizontal="center" vertical="center"/>
    </xf>
    <xf numFmtId="0" fontId="1" fillId="4" borderId="25" xfId="2" applyFill="1" applyBorder="1" applyAlignment="1">
      <alignment horizontal="center" vertical="center"/>
    </xf>
    <xf numFmtId="0" fontId="1" fillId="4" borderId="27" xfId="2" applyFill="1" applyBorder="1" applyAlignment="1">
      <alignment horizontal="center" vertical="center"/>
    </xf>
    <xf numFmtId="0" fontId="1" fillId="4" borderId="30" xfId="2" applyFill="1" applyBorder="1" applyAlignment="1">
      <alignment horizontal="center" vertical="center"/>
    </xf>
    <xf numFmtId="0" fontId="0" fillId="4" borderId="23" xfId="2" applyFont="1" applyFill="1" applyBorder="1" applyAlignment="1">
      <alignment horizontal="center" vertical="center" wrapText="1"/>
    </xf>
    <xf numFmtId="0" fontId="1" fillId="4" borderId="26" xfId="2" applyFill="1" applyBorder="1" applyAlignment="1">
      <alignment horizontal="center" vertical="center" wrapText="1"/>
    </xf>
    <xf numFmtId="0" fontId="1" fillId="4" borderId="28" xfId="2" applyFill="1" applyBorder="1" applyAlignment="1">
      <alignment horizontal="center" vertical="center" wrapText="1"/>
    </xf>
    <xf numFmtId="0" fontId="0" fillId="4" borderId="24" xfId="4" applyFont="1" applyFill="1" applyBorder="1" applyAlignment="1">
      <alignment horizontal="center" vertical="center" wrapText="1"/>
    </xf>
    <xf numFmtId="0" fontId="1" fillId="4" borderId="13" xfId="4" applyFill="1" applyBorder="1" applyAlignment="1">
      <alignment horizontal="center" vertical="center" wrapText="1"/>
    </xf>
    <xf numFmtId="0" fontId="1" fillId="4" borderId="29" xfId="4" applyFill="1" applyBorder="1" applyAlignment="1">
      <alignment horizontal="center" vertical="center" wrapText="1"/>
    </xf>
    <xf numFmtId="9" fontId="1" fillId="4" borderId="34" xfId="4" applyNumberFormat="1" applyFill="1" applyBorder="1" applyAlignment="1">
      <alignment horizontal="center" vertical="center"/>
    </xf>
    <xf numFmtId="9" fontId="1" fillId="4" borderId="35" xfId="4" applyNumberFormat="1" applyFill="1" applyBorder="1" applyAlignment="1">
      <alignment horizontal="center" vertical="center"/>
    </xf>
    <xf numFmtId="0" fontId="1" fillId="4" borderId="35" xfId="4" applyFill="1" applyBorder="1" applyAlignment="1">
      <alignment horizontal="center" vertical="center"/>
    </xf>
    <xf numFmtId="0" fontId="1" fillId="4" borderId="36" xfId="4" applyFill="1" applyBorder="1" applyAlignment="1">
      <alignment horizontal="center" vertical="center"/>
    </xf>
    <xf numFmtId="0" fontId="1" fillId="4" borderId="37" xfId="2" applyFill="1" applyBorder="1" applyAlignment="1">
      <alignment horizontal="center" vertical="center" wrapText="1"/>
    </xf>
    <xf numFmtId="0" fontId="1" fillId="4" borderId="38" xfId="2" applyFill="1" applyBorder="1" applyAlignment="1">
      <alignment horizontal="center" vertical="center" wrapText="1"/>
    </xf>
    <xf numFmtId="0" fontId="1" fillId="4" borderId="39" xfId="2" applyFill="1" applyBorder="1" applyAlignment="1">
      <alignment horizontal="center" vertical="center" wrapText="1"/>
    </xf>
    <xf numFmtId="0" fontId="1" fillId="4" borderId="24" xfId="2" applyFill="1" applyBorder="1" applyAlignment="1">
      <alignment horizontal="center" vertical="center"/>
    </xf>
    <xf numFmtId="0" fontId="1" fillId="4" borderId="13" xfId="2" applyFill="1" applyBorder="1" applyAlignment="1">
      <alignment horizontal="center" vertical="center"/>
    </xf>
    <xf numFmtId="0" fontId="1" fillId="4" borderId="29" xfId="2" applyFill="1" applyBorder="1" applyAlignment="1">
      <alignment horizontal="center" vertical="center"/>
    </xf>
    <xf numFmtId="0" fontId="1" fillId="4" borderId="4" xfId="2" applyFill="1" applyBorder="1" applyAlignment="1">
      <alignment horizontal="center" vertical="center"/>
    </xf>
    <xf numFmtId="0" fontId="1" fillId="4" borderId="3" xfId="2" applyFill="1" applyBorder="1" applyAlignment="1">
      <alignment horizontal="center" vertical="center"/>
    </xf>
    <xf numFmtId="0" fontId="1" fillId="4" borderId="1" xfId="2" applyFill="1" applyBorder="1" applyAlignment="1">
      <alignment horizontal="center" vertical="center"/>
    </xf>
    <xf numFmtId="0" fontId="1" fillId="4" borderId="13" xfId="2" applyFill="1" applyBorder="1" applyAlignment="1">
      <alignment horizontal="center" vertical="center" wrapText="1"/>
    </xf>
    <xf numFmtId="0" fontId="0" fillId="5" borderId="0" xfId="2" applyFont="1" applyFill="1" applyAlignment="1">
      <alignment horizontal="center" vertical="center"/>
    </xf>
    <xf numFmtId="0" fontId="1" fillId="5" borderId="0" xfId="2" applyFill="1" applyAlignment="1">
      <alignment horizontal="center" vertical="center"/>
    </xf>
    <xf numFmtId="0" fontId="1" fillId="4" borderId="23" xfId="2" applyFill="1" applyBorder="1" applyAlignment="1">
      <alignment horizontal="center" vertical="center" wrapText="1"/>
    </xf>
    <xf numFmtId="0" fontId="1" fillId="4" borderId="19" xfId="2" applyFill="1" applyBorder="1" applyAlignment="1">
      <alignment horizontal="center" vertical="center" wrapText="1"/>
    </xf>
    <xf numFmtId="0" fontId="1" fillId="4" borderId="20" xfId="2" applyFill="1" applyBorder="1" applyAlignment="1">
      <alignment horizontal="center" vertical="center" wrapText="1"/>
    </xf>
    <xf numFmtId="0" fontId="1" fillId="4" borderId="21" xfId="2" applyFill="1" applyBorder="1" applyAlignment="1">
      <alignment horizontal="center" vertical="center" wrapText="1"/>
    </xf>
    <xf numFmtId="0" fontId="1" fillId="4" borderId="19" xfId="2" applyFill="1" applyBorder="1" applyAlignment="1">
      <alignment horizontal="center" vertical="center"/>
    </xf>
    <xf numFmtId="0" fontId="1" fillId="4" borderId="20" xfId="2" applyFill="1" applyBorder="1" applyAlignment="1">
      <alignment horizontal="center" vertical="center"/>
    </xf>
    <xf numFmtId="0" fontId="1" fillId="4" borderId="21" xfId="2" applyFill="1" applyBorder="1" applyAlignment="1">
      <alignment horizontal="center" vertical="center"/>
    </xf>
    <xf numFmtId="0" fontId="1" fillId="4" borderId="43" xfId="4" applyFill="1" applyBorder="1" applyAlignment="1">
      <alignment horizontal="center" vertical="center"/>
    </xf>
    <xf numFmtId="0" fontId="1" fillId="4" borderId="0" xfId="4" applyFill="1" applyBorder="1" applyAlignment="1">
      <alignment horizontal="center" vertical="center"/>
    </xf>
    <xf numFmtId="16" fontId="1" fillId="4" borderId="0" xfId="4" applyNumberFormat="1" applyFill="1" applyBorder="1" applyAlignment="1">
      <alignment horizontal="center" vertical="center"/>
    </xf>
    <xf numFmtId="16" fontId="4" fillId="4" borderId="35" xfId="4" applyNumberFormat="1" applyFont="1" applyFill="1" applyBorder="1" applyAlignment="1">
      <alignment horizontal="center" vertical="center"/>
    </xf>
    <xf numFmtId="16" fontId="4" fillId="4" borderId="52" xfId="4" applyNumberFormat="1" applyFont="1" applyFill="1" applyBorder="1" applyAlignment="1">
      <alignment horizontal="center" vertical="center"/>
    </xf>
    <xf numFmtId="16" fontId="4" fillId="4" borderId="38" xfId="4" applyNumberFormat="1" applyFont="1" applyFill="1" applyBorder="1" applyAlignment="1">
      <alignment horizontal="center" vertical="center"/>
    </xf>
    <xf numFmtId="0" fontId="1" fillId="4" borderId="53" xfId="4" applyFill="1" applyBorder="1" applyAlignment="1">
      <alignment horizontal="center" vertical="center"/>
    </xf>
    <xf numFmtId="0" fontId="1" fillId="4" borderId="5" xfId="4" applyFill="1" applyBorder="1" applyAlignment="1">
      <alignment horizontal="center" vertical="center"/>
    </xf>
    <xf numFmtId="16" fontId="1" fillId="4" borderId="5" xfId="4" applyNumberFormat="1" applyFill="1" applyBorder="1" applyAlignment="1">
      <alignment horizontal="center" vertical="center"/>
    </xf>
    <xf numFmtId="16" fontId="1" fillId="4" borderId="4" xfId="4" applyNumberFormat="1" applyFill="1" applyBorder="1" applyAlignment="1">
      <alignment horizontal="center" vertical="center"/>
    </xf>
    <xf numFmtId="0" fontId="1" fillId="4" borderId="54" xfId="4" applyFill="1" applyBorder="1" applyAlignment="1">
      <alignment horizontal="center" vertical="center"/>
    </xf>
    <xf numFmtId="16" fontId="1" fillId="4" borderId="3" xfId="4" applyNumberFormat="1" applyFill="1" applyBorder="1" applyAlignment="1">
      <alignment horizontal="center" vertical="center"/>
    </xf>
    <xf numFmtId="16" fontId="4" fillId="4" borderId="55" xfId="4" applyNumberFormat="1" applyFont="1" applyFill="1" applyBorder="1" applyAlignment="1">
      <alignment horizontal="center" vertical="center"/>
    </xf>
    <xf numFmtId="16" fontId="4" fillId="4" borderId="56" xfId="4" applyNumberFormat="1" applyFont="1" applyFill="1" applyBorder="1" applyAlignment="1">
      <alignment horizontal="center" vertical="center"/>
    </xf>
    <xf numFmtId="0" fontId="0" fillId="4" borderId="57" xfId="4" applyFont="1" applyFill="1" applyBorder="1" applyAlignment="1">
      <alignment horizontal="center" vertical="center"/>
    </xf>
    <xf numFmtId="0" fontId="1" fillId="4" borderId="2" xfId="4" applyFill="1" applyBorder="1" applyAlignment="1">
      <alignment horizontal="center" vertical="center"/>
    </xf>
    <xf numFmtId="16" fontId="1" fillId="4" borderId="2" xfId="4" applyNumberFormat="1" applyFill="1" applyBorder="1" applyAlignment="1">
      <alignment horizontal="center" vertical="center"/>
    </xf>
    <xf numFmtId="16" fontId="1" fillId="4" borderId="1" xfId="4" applyNumberFormat="1" applyFill="1" applyBorder="1" applyAlignment="1">
      <alignment horizontal="center" vertical="center"/>
    </xf>
    <xf numFmtId="0" fontId="1" fillId="4" borderId="42" xfId="4" applyFill="1" applyBorder="1" applyAlignment="1">
      <alignment horizontal="center" vertical="center"/>
    </xf>
    <xf numFmtId="16" fontId="1" fillId="4" borderId="43" xfId="4" applyNumberFormat="1" applyFill="1" applyBorder="1" applyAlignment="1">
      <alignment horizontal="center" vertical="center"/>
    </xf>
    <xf numFmtId="16" fontId="0" fillId="4" borderId="44" xfId="4" applyNumberFormat="1" applyFont="1" applyFill="1" applyBorder="1" applyAlignment="1">
      <alignment horizontal="center" vertical="center"/>
    </xf>
    <xf numFmtId="0" fontId="1" fillId="4" borderId="58" xfId="4" applyFill="1" applyBorder="1" applyAlignment="1">
      <alignment horizontal="center" vertical="center"/>
    </xf>
    <xf numFmtId="0" fontId="1" fillId="4" borderId="59" xfId="4" applyFill="1" applyBorder="1" applyAlignment="1">
      <alignment horizontal="center" vertical="center"/>
    </xf>
    <xf numFmtId="16" fontId="1" fillId="4" borderId="59" xfId="4" applyNumberFormat="1" applyFill="1" applyBorder="1" applyAlignment="1">
      <alignment horizontal="center" vertical="center"/>
    </xf>
    <xf numFmtId="16" fontId="1" fillId="4" borderId="60" xfId="4" applyNumberFormat="1" applyFill="1" applyBorder="1" applyAlignment="1">
      <alignment horizontal="center" vertical="center"/>
    </xf>
    <xf numFmtId="0" fontId="1" fillId="4" borderId="35" xfId="4" applyFill="1" applyBorder="1" applyAlignment="1">
      <alignment horizontal="center" vertical="center" wrapText="1"/>
    </xf>
    <xf numFmtId="9" fontId="1" fillId="4" borderId="52" xfId="4" applyNumberFormat="1" applyFill="1" applyBorder="1" applyAlignment="1">
      <alignment horizontal="center" vertical="center"/>
    </xf>
    <xf numFmtId="0" fontId="0" fillId="4" borderId="5" xfId="4" applyFont="1" applyFill="1" applyBorder="1" applyAlignment="1">
      <alignment vertical="center"/>
    </xf>
    <xf numFmtId="0" fontId="1" fillId="4" borderId="22" xfId="4" applyFill="1" applyBorder="1" applyAlignment="1">
      <alignment vertical="center"/>
    </xf>
    <xf numFmtId="0" fontId="0" fillId="4" borderId="0" xfId="4" applyFont="1" applyFill="1" applyBorder="1" applyAlignment="1">
      <alignment vertical="center"/>
    </xf>
    <xf numFmtId="9" fontId="1" fillId="4" borderId="38" xfId="4" applyNumberFormat="1" applyFill="1" applyBorder="1" applyAlignment="1">
      <alignment horizontal="center" vertical="center"/>
    </xf>
    <xf numFmtId="0" fontId="1" fillId="4" borderId="38" xfId="4" applyFill="1" applyBorder="1" applyAlignment="1">
      <alignment horizontal="center" vertical="center"/>
    </xf>
    <xf numFmtId="0" fontId="0" fillId="4" borderId="61" xfId="4" applyFont="1" applyFill="1" applyBorder="1" applyAlignment="1">
      <alignment vertical="center"/>
    </xf>
    <xf numFmtId="0" fontId="0" fillId="4" borderId="49" xfId="4" applyFont="1" applyFill="1" applyBorder="1" applyAlignment="1">
      <alignment vertical="center"/>
    </xf>
    <xf numFmtId="0" fontId="1" fillId="4" borderId="62" xfId="4" applyFill="1" applyBorder="1" applyAlignment="1">
      <alignment vertical="center"/>
    </xf>
    <xf numFmtId="0" fontId="1" fillId="4" borderId="63" xfId="4" applyFill="1" applyBorder="1" applyAlignment="1">
      <alignment vertical="center"/>
    </xf>
    <xf numFmtId="0" fontId="1" fillId="4" borderId="64" xfId="4" applyFill="1" applyBorder="1" applyAlignment="1">
      <alignment vertical="center"/>
    </xf>
    <xf numFmtId="16" fontId="1" fillId="4" borderId="12" xfId="4" applyNumberFormat="1" applyFill="1" applyBorder="1" applyAlignment="1">
      <alignment horizontal="center" vertical="center"/>
    </xf>
    <xf numFmtId="16" fontId="1" fillId="4" borderId="65" xfId="4" applyNumberFormat="1" applyFill="1" applyBorder="1" applyAlignment="1">
      <alignment horizontal="center" vertical="center"/>
    </xf>
    <xf numFmtId="0" fontId="1" fillId="4" borderId="11" xfId="4" applyNumberFormat="1" applyFill="1" applyBorder="1" applyAlignment="1">
      <alignment horizontal="center" vertical="center"/>
    </xf>
    <xf numFmtId="0" fontId="0" fillId="4" borderId="13" xfId="4" applyFont="1" applyFill="1" applyBorder="1" applyAlignment="1">
      <alignment vertical="center"/>
    </xf>
    <xf numFmtId="0" fontId="1" fillId="4" borderId="13" xfId="4" applyFill="1" applyBorder="1" applyAlignment="1">
      <alignment vertical="center"/>
    </xf>
    <xf numFmtId="0" fontId="0" fillId="4" borderId="20" xfId="4" applyFont="1" applyFill="1" applyBorder="1" applyAlignment="1">
      <alignment horizontal="center" vertical="center" wrapText="1"/>
    </xf>
    <xf numFmtId="0" fontId="1" fillId="4" borderId="19" xfId="4" applyFill="1" applyBorder="1" applyAlignment="1">
      <alignment vertical="center"/>
    </xf>
    <xf numFmtId="16" fontId="4" fillId="4" borderId="45" xfId="4" applyNumberFormat="1" applyFont="1" applyFill="1" applyBorder="1" applyAlignment="1">
      <alignment horizontal="center" vertical="center"/>
    </xf>
    <xf numFmtId="16" fontId="4" fillId="4" borderId="46" xfId="4" applyNumberFormat="1" applyFont="1" applyFill="1" applyBorder="1" applyAlignment="1">
      <alignment horizontal="center" vertical="center"/>
    </xf>
    <xf numFmtId="16" fontId="4" fillId="4" borderId="47" xfId="4" applyNumberFormat="1" applyFont="1" applyFill="1" applyBorder="1" applyAlignment="1">
      <alignment horizontal="center" vertical="center"/>
    </xf>
    <xf numFmtId="0" fontId="0" fillId="5" borderId="13" xfId="2" applyFont="1" applyFill="1" applyBorder="1" applyAlignment="1">
      <alignment horizontal="center" vertical="center"/>
    </xf>
    <xf numFmtId="0" fontId="1" fillId="5" borderId="13" xfId="2" applyFill="1" applyBorder="1" applyAlignment="1">
      <alignment horizontal="center" vertical="center"/>
    </xf>
    <xf numFmtId="0" fontId="1" fillId="4" borderId="45" xfId="4" applyFill="1" applyBorder="1" applyAlignment="1">
      <alignment horizontal="center" vertical="center" wrapText="1"/>
    </xf>
    <xf numFmtId="0" fontId="1" fillId="4" borderId="47" xfId="2" applyFill="1" applyBorder="1" applyAlignment="1">
      <alignment horizontal="center" vertical="center" wrapText="1"/>
    </xf>
    <xf numFmtId="0" fontId="1" fillId="4" borderId="67" xfId="2" applyFill="1" applyBorder="1" applyAlignment="1">
      <alignment horizontal="center" vertical="center"/>
    </xf>
    <xf numFmtId="0" fontId="0" fillId="4" borderId="26" xfId="2" applyFont="1" applyFill="1" applyBorder="1" applyAlignment="1">
      <alignment horizontal="center" vertical="center" wrapText="1"/>
    </xf>
    <xf numFmtId="0" fontId="0" fillId="4" borderId="21" xfId="4" applyFont="1" applyFill="1" applyBorder="1" applyAlignment="1">
      <alignment vertical="center"/>
    </xf>
    <xf numFmtId="0" fontId="1" fillId="4" borderId="10" xfId="4" applyNumberFormat="1" applyFill="1" applyBorder="1" applyAlignment="1">
      <alignment horizontal="center" vertical="center"/>
    </xf>
    <xf numFmtId="0" fontId="1" fillId="4" borderId="19" xfId="4" applyFill="1" applyBorder="1" applyAlignment="1">
      <alignment horizontal="center" vertical="center" wrapText="1"/>
    </xf>
    <xf numFmtId="0" fontId="0" fillId="4" borderId="50" xfId="4" applyFont="1" applyFill="1" applyBorder="1" applyAlignment="1">
      <alignment horizontal="center" vertical="center" wrapText="1"/>
    </xf>
    <xf numFmtId="0" fontId="1" fillId="4" borderId="51" xfId="2" applyFill="1" applyBorder="1" applyAlignment="1">
      <alignment horizontal="center" vertical="center" wrapText="1"/>
    </xf>
    <xf numFmtId="0" fontId="1" fillId="4" borderId="68" xfId="2" applyFill="1" applyBorder="1" applyAlignment="1">
      <alignment horizontal="center" vertical="center"/>
    </xf>
    <xf numFmtId="0" fontId="1" fillId="4" borderId="66" xfId="2" applyFill="1" applyBorder="1" applyAlignment="1">
      <alignment horizontal="center" vertical="center"/>
    </xf>
    <xf numFmtId="0" fontId="0" fillId="4" borderId="19" xfId="4" applyFont="1" applyFill="1" applyBorder="1" applyAlignment="1">
      <alignment horizontal="center" vertical="center" wrapText="1"/>
    </xf>
    <xf numFmtId="0" fontId="0" fillId="4" borderId="21" xfId="4" applyFont="1" applyFill="1" applyBorder="1" applyAlignment="1">
      <alignment horizontal="center" vertical="center" wrapText="1"/>
    </xf>
    <xf numFmtId="0" fontId="0" fillId="4" borderId="69" xfId="2" applyFont="1" applyFill="1" applyBorder="1" applyAlignment="1">
      <alignment horizontal="center" vertical="center" wrapText="1"/>
    </xf>
    <xf numFmtId="0" fontId="0" fillId="4" borderId="70" xfId="2" applyFont="1" applyFill="1" applyBorder="1" applyAlignment="1">
      <alignment horizontal="center" vertical="center" wrapText="1"/>
    </xf>
    <xf numFmtId="164" fontId="2" fillId="2" borderId="13" xfId="1" applyNumberFormat="1" applyBorder="1" applyAlignment="1">
      <alignment horizontal="center" vertical="center"/>
    </xf>
    <xf numFmtId="0" fontId="2" fillId="2" borderId="13" xfId="1" applyBorder="1" applyAlignment="1">
      <alignment horizontal="center" vertical="center" wrapText="1"/>
    </xf>
    <xf numFmtId="0" fontId="1" fillId="4" borderId="71" xfId="4" applyFill="1" applyBorder="1" applyAlignment="1">
      <alignment vertical="center"/>
    </xf>
    <xf numFmtId="0" fontId="1" fillId="4" borderId="21" xfId="4" applyFill="1" applyBorder="1" applyAlignment="1">
      <alignment horizontal="center" vertical="center" wrapText="1"/>
    </xf>
    <xf numFmtId="16" fontId="1" fillId="4" borderId="72" xfId="4" applyNumberFormat="1" applyFill="1" applyBorder="1" applyAlignment="1">
      <alignment horizontal="center" vertical="center"/>
    </xf>
    <xf numFmtId="0" fontId="0" fillId="5" borderId="35" xfId="2" applyFont="1" applyFill="1" applyBorder="1" applyAlignment="1">
      <alignment horizontal="center" vertical="center"/>
    </xf>
    <xf numFmtId="0" fontId="0" fillId="5" borderId="52" xfId="2" applyFont="1" applyFill="1" applyBorder="1" applyAlignment="1">
      <alignment horizontal="center" vertical="center"/>
    </xf>
    <xf numFmtId="0" fontId="0" fillId="5" borderId="38" xfId="2" applyFont="1" applyFill="1" applyBorder="1" applyAlignment="1">
      <alignment horizontal="center" vertical="center"/>
    </xf>
    <xf numFmtId="0" fontId="1" fillId="4" borderId="15" xfId="4" applyNumberFormat="1" applyFill="1" applyBorder="1" applyAlignment="1">
      <alignment horizontal="center" vertical="center"/>
    </xf>
    <xf numFmtId="16" fontId="1" fillId="4" borderId="73" xfId="4" applyNumberFormat="1" applyFill="1" applyBorder="1" applyAlignment="1">
      <alignment horizontal="center" vertical="center"/>
    </xf>
    <xf numFmtId="0" fontId="1" fillId="4" borderId="13" xfId="4" applyNumberFormat="1" applyFill="1" applyBorder="1" applyAlignment="1">
      <alignment horizontal="center" vertical="center"/>
    </xf>
    <xf numFmtId="0" fontId="1" fillId="5" borderId="19" xfId="2" applyFill="1" applyBorder="1" applyAlignment="1">
      <alignment horizontal="center" vertical="center"/>
    </xf>
    <xf numFmtId="0" fontId="1" fillId="4" borderId="49" xfId="2" applyFill="1" applyBorder="1" applyAlignment="1">
      <alignment horizontal="center" vertical="center" wrapText="1"/>
    </xf>
    <xf numFmtId="0" fontId="1" fillId="4" borderId="74" xfId="2" applyFill="1" applyBorder="1" applyAlignment="1">
      <alignment horizontal="center" vertical="center"/>
    </xf>
    <xf numFmtId="0" fontId="1" fillId="4" borderId="20" xfId="4" applyFill="1" applyBorder="1" applyAlignment="1">
      <alignment horizontal="center" vertical="center" wrapText="1"/>
    </xf>
    <xf numFmtId="0" fontId="0" fillId="5" borderId="48" xfId="2" applyFont="1" applyFill="1" applyBorder="1" applyAlignment="1">
      <alignment horizontal="center" vertical="center"/>
    </xf>
    <xf numFmtId="0" fontId="0" fillId="5" borderId="0" xfId="2" applyFont="1" applyFill="1" applyBorder="1" applyAlignment="1">
      <alignment horizontal="center" vertical="center"/>
    </xf>
    <xf numFmtId="0" fontId="0" fillId="5" borderId="49" xfId="2" applyFont="1" applyFill="1" applyBorder="1" applyAlignment="1">
      <alignment horizontal="center" vertical="center"/>
    </xf>
    <xf numFmtId="164" fontId="2" fillId="2" borderId="13" xfId="1" applyNumberFormat="1" applyBorder="1" applyAlignment="1">
      <alignment horizontal="center" vertical="center" wrapText="1"/>
    </xf>
    <xf numFmtId="0" fontId="1" fillId="0" borderId="0" xfId="2" applyAlignment="1">
      <alignment vertical="center" wrapText="1"/>
    </xf>
    <xf numFmtId="164" fontId="2" fillId="2" borderId="40" xfId="1" applyNumberFormat="1" applyBorder="1" applyAlignment="1">
      <alignment horizontal="center" vertical="center"/>
    </xf>
    <xf numFmtId="164" fontId="2" fillId="2" borderId="24" xfId="1" applyNumberFormat="1" applyBorder="1" applyAlignment="1">
      <alignment horizontal="center" vertical="center"/>
    </xf>
    <xf numFmtId="0" fontId="2" fillId="2" borderId="24" xfId="1" applyBorder="1" applyAlignment="1">
      <alignment horizontal="center" vertical="center" wrapText="1"/>
    </xf>
    <xf numFmtId="164" fontId="2" fillId="2" borderId="25" xfId="1" applyNumberFormat="1" applyBorder="1" applyAlignment="1">
      <alignment horizontal="center" vertical="center"/>
    </xf>
    <xf numFmtId="0" fontId="0" fillId="5" borderId="41" xfId="2" applyFont="1" applyFill="1" applyBorder="1" applyAlignment="1">
      <alignment horizontal="center" vertical="center"/>
    </xf>
    <xf numFmtId="0" fontId="1" fillId="5" borderId="67" xfId="2" applyFill="1" applyBorder="1" applyAlignment="1">
      <alignment horizontal="center" vertical="center"/>
    </xf>
    <xf numFmtId="0" fontId="1" fillId="4" borderId="41" xfId="2" applyFill="1" applyBorder="1" applyAlignment="1">
      <alignment horizontal="center" vertical="center" wrapText="1"/>
    </xf>
    <xf numFmtId="0" fontId="1" fillId="4" borderId="69" xfId="2" applyFill="1" applyBorder="1" applyAlignment="1">
      <alignment horizontal="center" vertical="center" wrapText="1"/>
    </xf>
    <xf numFmtId="16" fontId="4" fillId="4" borderId="75" xfId="4" applyNumberFormat="1" applyFont="1" applyFill="1" applyBorder="1" applyAlignment="1">
      <alignment horizontal="center" vertical="center"/>
    </xf>
    <xf numFmtId="16" fontId="4" fillId="4" borderId="76" xfId="4" applyNumberFormat="1" applyFont="1" applyFill="1" applyBorder="1" applyAlignment="1">
      <alignment horizontal="center" vertical="center"/>
    </xf>
    <xf numFmtId="0" fontId="0" fillId="6" borderId="31" xfId="2" applyFont="1" applyFill="1" applyBorder="1" applyAlignment="1">
      <alignment horizontal="center" vertical="center"/>
    </xf>
    <xf numFmtId="0" fontId="1" fillId="6" borderId="32" xfId="2" applyFill="1" applyBorder="1" applyAlignment="1">
      <alignment horizontal="center" vertical="center"/>
    </xf>
    <xf numFmtId="0" fontId="1" fillId="6" borderId="33" xfId="2" applyFill="1" applyBorder="1" applyAlignment="1">
      <alignment horizontal="center" vertical="center"/>
    </xf>
    <xf numFmtId="0" fontId="0" fillId="7" borderId="41" xfId="2" applyFont="1" applyFill="1" applyBorder="1" applyAlignment="1">
      <alignment horizontal="center" vertical="center"/>
    </xf>
    <xf numFmtId="0" fontId="1" fillId="7" borderId="13" xfId="2" applyFill="1" applyBorder="1" applyAlignment="1">
      <alignment horizontal="center" vertical="center"/>
    </xf>
    <xf numFmtId="0" fontId="1" fillId="7" borderId="67" xfId="2" applyFill="1" applyBorder="1" applyAlignment="1">
      <alignment horizontal="center" vertical="center"/>
    </xf>
    <xf numFmtId="0" fontId="1" fillId="7" borderId="19" xfId="2" applyFill="1" applyBorder="1" applyAlignment="1">
      <alignment horizontal="center" vertical="center"/>
    </xf>
    <xf numFmtId="0" fontId="0" fillId="7" borderId="55" xfId="2" applyFont="1" applyFill="1" applyBorder="1" applyAlignment="1">
      <alignment horizontal="center" vertical="center"/>
    </xf>
    <xf numFmtId="0" fontId="0" fillId="7" borderId="52" xfId="2" applyFont="1" applyFill="1" applyBorder="1" applyAlignment="1">
      <alignment horizontal="center" vertical="center"/>
    </xf>
    <xf numFmtId="0" fontId="0" fillId="7" borderId="3" xfId="2" applyFont="1" applyFill="1" applyBorder="1" applyAlignment="1">
      <alignment horizontal="center" vertical="center"/>
    </xf>
  </cellXfs>
  <cellStyles count="5">
    <cellStyle name="Normal" xfId="0" builtinId="0"/>
    <cellStyle name="Normal 2" xfId="2" xr:uid="{00000000-0005-0000-0000-000001000000}"/>
    <cellStyle name="Normal 3" xfId="3" xr:uid="{00000000-0005-0000-0000-000002000000}"/>
    <cellStyle name="הדגשה1" xfId="1" builtinId="29"/>
    <cellStyle name="הערה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6"/>
  <sheetViews>
    <sheetView rightToLeft="1" tabSelected="1" workbookViewId="0">
      <selection activeCell="C28" sqref="C28"/>
    </sheetView>
  </sheetViews>
  <sheetFormatPr defaultRowHeight="14.25" x14ac:dyDescent="0.2"/>
  <cols>
    <col min="1" max="1" width="15.625" style="1" customWidth="1"/>
    <col min="2" max="2" width="23" style="1" customWidth="1"/>
    <col min="3" max="3" width="28.5" style="1" customWidth="1"/>
    <col min="4" max="6" width="9" style="2"/>
    <col min="7" max="7" width="11.5" style="2" bestFit="1" customWidth="1"/>
    <col min="8" max="8" width="16.625" style="1" customWidth="1"/>
    <col min="9" max="9" width="9.75" style="1" bestFit="1" customWidth="1"/>
    <col min="10" max="10" width="10.125" style="1" bestFit="1" customWidth="1"/>
    <col min="11" max="16384" width="9" style="1"/>
  </cols>
  <sheetData>
    <row r="1" spans="1:10" ht="39.75" customHeight="1" x14ac:dyDescent="0.2">
      <c r="A1" s="119" t="s">
        <v>14</v>
      </c>
      <c r="B1" s="119" t="s">
        <v>13</v>
      </c>
      <c r="C1" s="119" t="s">
        <v>12</v>
      </c>
      <c r="D1" s="120" t="s">
        <v>10</v>
      </c>
      <c r="E1" s="120" t="s">
        <v>9</v>
      </c>
      <c r="F1" s="120" t="s">
        <v>8</v>
      </c>
      <c r="G1" s="119" t="s">
        <v>7</v>
      </c>
      <c r="H1" s="119" t="s">
        <v>6</v>
      </c>
      <c r="I1" s="119" t="s">
        <v>4</v>
      </c>
      <c r="J1" s="119" t="s">
        <v>3</v>
      </c>
    </row>
    <row r="2" spans="1:10" ht="15" thickBot="1" x14ac:dyDescent="0.25">
      <c r="A2" s="102" t="s">
        <v>19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s="6" customFormat="1" ht="15" thickBot="1" x14ac:dyDescent="0.25">
      <c r="A3" s="50" t="s">
        <v>18</v>
      </c>
      <c r="B3" s="122" t="s">
        <v>19</v>
      </c>
      <c r="C3" s="88" t="s">
        <v>20</v>
      </c>
      <c r="D3" s="94">
        <f t="shared" ref="D3:D6" si="0">NETWORKDAYS.INTL(F3,G3,7) -1</f>
        <v>2</v>
      </c>
      <c r="E3" s="109">
        <f>NETWORKDAYS.INTL(F3,G3,7) -1</f>
        <v>2</v>
      </c>
      <c r="F3" s="13">
        <v>46015</v>
      </c>
      <c r="G3" s="13">
        <v>46019</v>
      </c>
      <c r="H3" s="51"/>
      <c r="I3" s="53"/>
      <c r="J3" s="43">
        <v>18</v>
      </c>
    </row>
    <row r="4" spans="1:10" s="6" customFormat="1" ht="15" thickBot="1" x14ac:dyDescent="0.25">
      <c r="A4" s="50"/>
      <c r="B4" s="80"/>
      <c r="C4" s="95" t="s">
        <v>22</v>
      </c>
      <c r="D4" s="94">
        <f t="shared" si="0"/>
        <v>5</v>
      </c>
      <c r="E4" s="94">
        <f t="shared" ref="E4:E6" si="1">NETWORKDAYS.INTL(F4,G4,7) -1</f>
        <v>5</v>
      </c>
      <c r="F4" s="7">
        <v>46019</v>
      </c>
      <c r="G4" s="7">
        <v>46026</v>
      </c>
      <c r="H4" s="45"/>
      <c r="I4" s="53"/>
      <c r="J4" s="43"/>
    </row>
    <row r="5" spans="1:10" s="6" customFormat="1" ht="15" thickBot="1" x14ac:dyDescent="0.25">
      <c r="A5" s="50"/>
      <c r="B5" s="30"/>
      <c r="C5" s="89" t="s">
        <v>2</v>
      </c>
      <c r="D5" s="94">
        <f t="shared" si="0"/>
        <v>5</v>
      </c>
      <c r="E5" s="94">
        <f t="shared" si="1"/>
        <v>5</v>
      </c>
      <c r="F5" s="7">
        <v>46026</v>
      </c>
      <c r="G5" s="93">
        <v>46033</v>
      </c>
      <c r="H5" s="45"/>
      <c r="I5" s="53"/>
      <c r="J5" s="43"/>
    </row>
    <row r="6" spans="1:10" s="6" customFormat="1" x14ac:dyDescent="0.2">
      <c r="A6" s="50"/>
      <c r="B6" s="30"/>
      <c r="C6" s="89" t="s">
        <v>21</v>
      </c>
      <c r="D6" s="94">
        <f t="shared" si="0"/>
        <v>5</v>
      </c>
      <c r="E6" s="94">
        <f t="shared" si="1"/>
        <v>5</v>
      </c>
      <c r="F6" s="93">
        <v>46033</v>
      </c>
      <c r="G6" s="93">
        <v>46040</v>
      </c>
      <c r="H6" s="45"/>
      <c r="I6" s="53"/>
      <c r="J6" s="43"/>
    </row>
    <row r="7" spans="1:10" s="6" customFormat="1" ht="34.5" x14ac:dyDescent="0.2">
      <c r="A7" s="50"/>
      <c r="B7" s="110"/>
      <c r="C7" s="121" t="s">
        <v>1</v>
      </c>
      <c r="D7" s="99">
        <v>46026</v>
      </c>
      <c r="E7" s="100"/>
      <c r="F7" s="100"/>
      <c r="G7" s="101"/>
      <c r="H7" s="49"/>
      <c r="I7" s="53"/>
      <c r="J7" s="43"/>
    </row>
    <row r="8" spans="1:10" x14ac:dyDescent="0.2">
      <c r="A8" s="102" t="s">
        <v>27</v>
      </c>
      <c r="B8" s="103"/>
      <c r="C8" s="103"/>
      <c r="D8" s="103"/>
      <c r="E8" s="103"/>
      <c r="F8" s="103"/>
      <c r="G8" s="103"/>
      <c r="H8" s="103"/>
      <c r="I8" s="103"/>
      <c r="J8" s="103"/>
    </row>
    <row r="9" spans="1:10" s="6" customFormat="1" ht="15" thickBot="1" x14ac:dyDescent="0.25">
      <c r="A9" s="50" t="s">
        <v>23</v>
      </c>
      <c r="B9" s="122" t="s">
        <v>27</v>
      </c>
      <c r="C9" s="108" t="s">
        <v>16</v>
      </c>
      <c r="D9" s="109">
        <f>NETWORKDAYS.INTL(F9,G9,7) -1</f>
        <v>1</v>
      </c>
      <c r="E9" s="109">
        <f t="shared" ref="E9:E12" si="2">NETWORKDAYS.INTL(F9,G9,7) -1</f>
        <v>1</v>
      </c>
      <c r="F9" s="123">
        <v>46022</v>
      </c>
      <c r="G9" s="13">
        <v>46023</v>
      </c>
      <c r="H9" s="51"/>
      <c r="I9" s="53"/>
      <c r="J9" s="43">
        <f>SUM(E9:E12)</f>
        <v>7</v>
      </c>
    </row>
    <row r="10" spans="1:10" s="6" customFormat="1" ht="15" thickBot="1" x14ac:dyDescent="0.25">
      <c r="A10" s="50"/>
      <c r="B10" s="80"/>
      <c r="C10" s="95" t="s">
        <v>15</v>
      </c>
      <c r="D10" s="94">
        <f t="shared" ref="D10:D11" si="3">NETWORKDAYS.INTL(F10,G10,7) -1</f>
        <v>1</v>
      </c>
      <c r="E10" s="94">
        <f t="shared" si="2"/>
        <v>1</v>
      </c>
      <c r="F10" s="7">
        <v>46026</v>
      </c>
      <c r="G10" s="7">
        <v>46027</v>
      </c>
      <c r="H10" s="45"/>
      <c r="I10" s="53"/>
      <c r="J10" s="43"/>
    </row>
    <row r="11" spans="1:10" s="6" customFormat="1" ht="15" thickBot="1" x14ac:dyDescent="0.25">
      <c r="A11" s="50"/>
      <c r="B11" s="80"/>
      <c r="C11" s="96" t="s">
        <v>2</v>
      </c>
      <c r="D11" s="94">
        <f t="shared" si="3"/>
        <v>1</v>
      </c>
      <c r="E11" s="94">
        <f t="shared" si="2"/>
        <v>1</v>
      </c>
      <c r="F11" s="7">
        <v>46027</v>
      </c>
      <c r="G11" s="7">
        <v>46028</v>
      </c>
      <c r="H11" s="45"/>
      <c r="I11" s="53"/>
      <c r="J11" s="43"/>
    </row>
    <row r="12" spans="1:10" s="6" customFormat="1" x14ac:dyDescent="0.2">
      <c r="A12" s="50"/>
      <c r="B12" s="80"/>
      <c r="C12" s="96" t="s">
        <v>21</v>
      </c>
      <c r="D12" s="94">
        <f>NETWORKDAYS.INTL(F12,G12,7) -1</f>
        <v>4</v>
      </c>
      <c r="E12" s="94">
        <f t="shared" si="2"/>
        <v>4</v>
      </c>
      <c r="F12" s="93">
        <v>46033</v>
      </c>
      <c r="G12" s="93">
        <v>46037</v>
      </c>
      <c r="H12" s="45"/>
      <c r="I12" s="53"/>
      <c r="J12" s="43"/>
    </row>
    <row r="13" spans="1:10" s="6" customFormat="1" ht="34.5" x14ac:dyDescent="0.2">
      <c r="A13" s="50"/>
      <c r="B13" s="110"/>
      <c r="C13" s="98" t="s">
        <v>1</v>
      </c>
      <c r="D13" s="67">
        <v>46033</v>
      </c>
      <c r="E13" s="59"/>
      <c r="F13" s="59"/>
      <c r="G13" s="68"/>
      <c r="H13" s="49"/>
      <c r="I13" s="53"/>
      <c r="J13" s="43"/>
    </row>
    <row r="14" spans="1:10" x14ac:dyDescent="0.2">
      <c r="A14" s="102" t="s">
        <v>28</v>
      </c>
      <c r="B14" s="103"/>
      <c r="C14" s="103"/>
      <c r="D14" s="130"/>
      <c r="E14" s="130"/>
      <c r="F14" s="130"/>
      <c r="G14" s="130"/>
      <c r="H14" s="103"/>
      <c r="I14" s="103"/>
      <c r="J14" s="103"/>
    </row>
    <row r="15" spans="1:10" s="6" customFormat="1" x14ac:dyDescent="0.2">
      <c r="A15" s="50" t="s">
        <v>23</v>
      </c>
      <c r="B15" s="111" t="s">
        <v>28</v>
      </c>
      <c r="C15" s="108" t="s">
        <v>16</v>
      </c>
      <c r="D15" s="129">
        <f t="shared" ref="D15:D17" si="4">NETWORKDAYS.INTL(F15,G15,7) -1</f>
        <v>2</v>
      </c>
      <c r="E15" s="129">
        <f t="shared" ref="E15:E17" si="5">NETWORKDAYS.INTL(F15,G15,7) -1</f>
        <v>2</v>
      </c>
      <c r="F15" s="18">
        <v>45924</v>
      </c>
      <c r="G15" s="18">
        <v>45928</v>
      </c>
      <c r="H15" s="112"/>
      <c r="I15" s="21"/>
      <c r="J15" s="113">
        <f>SUM(E15:E19)</f>
        <v>12</v>
      </c>
    </row>
    <row r="16" spans="1:10" s="6" customFormat="1" x14ac:dyDescent="0.2">
      <c r="A16" s="50"/>
      <c r="B16" s="80"/>
      <c r="C16" s="95" t="s">
        <v>15</v>
      </c>
      <c r="D16" s="129">
        <f t="shared" si="4"/>
        <v>4</v>
      </c>
      <c r="E16" s="129">
        <f t="shared" si="5"/>
        <v>4</v>
      </c>
      <c r="F16" s="18">
        <v>46019</v>
      </c>
      <c r="G16" s="18">
        <v>46023</v>
      </c>
      <c r="H16" s="37"/>
      <c r="I16" s="21"/>
      <c r="J16" s="24"/>
    </row>
    <row r="17" spans="1:10" s="6" customFormat="1" x14ac:dyDescent="0.2">
      <c r="A17" s="50"/>
      <c r="B17" s="80"/>
      <c r="C17" s="96" t="s">
        <v>2</v>
      </c>
      <c r="D17" s="129">
        <f t="shared" si="4"/>
        <v>5</v>
      </c>
      <c r="E17" s="129">
        <f t="shared" si="5"/>
        <v>5</v>
      </c>
      <c r="F17" s="18">
        <v>46026</v>
      </c>
      <c r="G17" s="18">
        <v>46033</v>
      </c>
      <c r="H17" s="37"/>
      <c r="I17" s="21"/>
      <c r="J17" s="24"/>
    </row>
    <row r="18" spans="1:10" s="6" customFormat="1" x14ac:dyDescent="0.2">
      <c r="A18" s="50"/>
      <c r="B18" s="80"/>
      <c r="C18" s="96" t="s">
        <v>21</v>
      </c>
      <c r="D18" s="129">
        <f>NETWORKDAYS.INTL(F18,G18,7) -1</f>
        <v>5</v>
      </c>
      <c r="E18" s="129">
        <v>1</v>
      </c>
      <c r="F18" s="18">
        <v>46033</v>
      </c>
      <c r="G18" s="18">
        <v>46040</v>
      </c>
      <c r="H18" s="37"/>
      <c r="I18" s="21"/>
      <c r="J18" s="24"/>
    </row>
    <row r="19" spans="1:10" s="6" customFormat="1" ht="34.5" x14ac:dyDescent="0.2">
      <c r="A19" s="50"/>
      <c r="B19" s="80"/>
      <c r="C19" s="96" t="s">
        <v>1</v>
      </c>
      <c r="D19" s="67">
        <v>46033</v>
      </c>
      <c r="E19" s="59"/>
      <c r="F19" s="59"/>
      <c r="G19" s="68"/>
      <c r="H19" s="37"/>
      <c r="I19" s="21"/>
      <c r="J19" s="24"/>
    </row>
    <row r="20" spans="1:10" ht="15" thickBot="1" x14ac:dyDescent="0.25">
      <c r="A20" s="124" t="s">
        <v>34</v>
      </c>
      <c r="B20" s="125"/>
      <c r="C20" s="125"/>
      <c r="D20" s="125"/>
      <c r="E20" s="125"/>
      <c r="F20" s="125"/>
      <c r="G20" s="125"/>
      <c r="H20" s="125"/>
      <c r="I20" s="125"/>
      <c r="J20" s="126"/>
    </row>
    <row r="21" spans="1:10" s="6" customFormat="1" ht="15" thickBot="1" x14ac:dyDescent="0.25">
      <c r="A21" s="45" t="s">
        <v>33</v>
      </c>
      <c r="B21" s="111" t="s">
        <v>34</v>
      </c>
      <c r="C21" s="108" t="s">
        <v>16</v>
      </c>
      <c r="D21" s="127">
        <f>NETWORKDAYS.INTL(F21,G21,7) -1</f>
        <v>0</v>
      </c>
      <c r="E21" s="19">
        <v>0.5</v>
      </c>
      <c r="F21" s="128">
        <v>46033</v>
      </c>
      <c r="G21" s="128">
        <v>46033</v>
      </c>
      <c r="H21" s="112"/>
      <c r="I21" s="40"/>
      <c r="J21" s="113">
        <f>SUM(E21:E25)</f>
        <v>3.5</v>
      </c>
    </row>
    <row r="22" spans="1:10" s="6" customFormat="1" ht="15" thickBot="1" x14ac:dyDescent="0.25">
      <c r="A22" s="45"/>
      <c r="B22" s="80"/>
      <c r="C22" s="95" t="s">
        <v>15</v>
      </c>
      <c r="D22" s="127">
        <f t="shared" ref="D22:D24" si="6">NETWORKDAYS.INTL(F22,G22,7) -1</f>
        <v>1</v>
      </c>
      <c r="E22" s="19">
        <v>1</v>
      </c>
      <c r="F22" s="128">
        <v>46033</v>
      </c>
      <c r="G22" s="93">
        <v>46034</v>
      </c>
      <c r="H22" s="37"/>
      <c r="I22" s="40"/>
      <c r="J22" s="24"/>
    </row>
    <row r="23" spans="1:10" s="6" customFormat="1" ht="15" thickBot="1" x14ac:dyDescent="0.25">
      <c r="A23" s="45"/>
      <c r="B23" s="80"/>
      <c r="C23" s="96" t="s">
        <v>2</v>
      </c>
      <c r="D23" s="127">
        <f t="shared" si="6"/>
        <v>1</v>
      </c>
      <c r="E23" s="19">
        <v>1</v>
      </c>
      <c r="F23" s="93">
        <v>46034</v>
      </c>
      <c r="G23" s="93">
        <v>46035</v>
      </c>
      <c r="H23" s="37"/>
      <c r="I23" s="40"/>
      <c r="J23" s="24"/>
    </row>
    <row r="24" spans="1:10" s="6" customFormat="1" x14ac:dyDescent="0.2">
      <c r="A24" s="45"/>
      <c r="B24" s="80"/>
      <c r="C24" s="96" t="s">
        <v>21</v>
      </c>
      <c r="D24" s="127">
        <f t="shared" si="6"/>
        <v>2</v>
      </c>
      <c r="E24" s="19">
        <v>1</v>
      </c>
      <c r="F24" s="93">
        <v>46035</v>
      </c>
      <c r="G24" s="93">
        <v>46037</v>
      </c>
      <c r="H24" s="37"/>
      <c r="I24" s="40"/>
      <c r="J24" s="24"/>
    </row>
    <row r="25" spans="1:10" s="6" customFormat="1" ht="35.25" thickBot="1" x14ac:dyDescent="0.25">
      <c r="A25" s="45"/>
      <c r="B25" s="80"/>
      <c r="C25" s="96" t="s">
        <v>1</v>
      </c>
      <c r="D25" s="67">
        <v>46035</v>
      </c>
      <c r="E25" s="59"/>
      <c r="F25" s="59"/>
      <c r="G25" s="68"/>
      <c r="H25" s="37"/>
      <c r="I25" s="40"/>
      <c r="J25" s="24"/>
    </row>
    <row r="26" spans="1:10" ht="19.5" customHeight="1" thickBot="1" x14ac:dyDescent="0.25">
      <c r="A26" s="149" t="s">
        <v>32</v>
      </c>
      <c r="B26" s="150"/>
      <c r="C26" s="150"/>
      <c r="D26" s="150"/>
      <c r="E26" s="150"/>
      <c r="F26" s="150"/>
      <c r="G26" s="150"/>
      <c r="H26" s="150"/>
      <c r="I26" s="150"/>
      <c r="J26" s="151"/>
    </row>
  </sheetData>
  <mergeCells count="29">
    <mergeCell ref="I15:I19"/>
    <mergeCell ref="J15:J19"/>
    <mergeCell ref="D19:G19"/>
    <mergeCell ref="A20:J20"/>
    <mergeCell ref="A21:A25"/>
    <mergeCell ref="B21:B25"/>
    <mergeCell ref="H21:H25"/>
    <mergeCell ref="I21:I25"/>
    <mergeCell ref="J21:J25"/>
    <mergeCell ref="D25:G25"/>
    <mergeCell ref="A8:J8"/>
    <mergeCell ref="A9:A13"/>
    <mergeCell ref="B9:B13"/>
    <mergeCell ref="H9:H13"/>
    <mergeCell ref="I9:I13"/>
    <mergeCell ref="J9:J13"/>
    <mergeCell ref="D13:G13"/>
    <mergeCell ref="A14:J14"/>
    <mergeCell ref="A15:A19"/>
    <mergeCell ref="B15:B19"/>
    <mergeCell ref="H15:H19"/>
    <mergeCell ref="A3:A7"/>
    <mergeCell ref="B3:B7"/>
    <mergeCell ref="H3:H7"/>
    <mergeCell ref="D7:G7"/>
    <mergeCell ref="A26:J26"/>
    <mergeCell ref="I3:I7"/>
    <mergeCell ref="J3:J7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rightToLeft="1" zoomScaleNormal="100" workbookViewId="0">
      <selection activeCell="A14" sqref="A14:J14"/>
    </sheetView>
  </sheetViews>
  <sheetFormatPr defaultRowHeight="14.25" x14ac:dyDescent="0.2"/>
  <cols>
    <col min="1" max="1" width="15.625" style="1" customWidth="1"/>
    <col min="2" max="2" width="23" style="1" customWidth="1"/>
    <col min="3" max="3" width="30" style="1" customWidth="1"/>
    <col min="4" max="6" width="9" style="2"/>
    <col min="7" max="7" width="11.5" style="2" bestFit="1" customWidth="1"/>
    <col min="8" max="8" width="25.5" style="1" customWidth="1"/>
    <col min="9" max="9" width="9.75" style="1" bestFit="1" customWidth="1"/>
    <col min="10" max="10" width="10.125" style="1" bestFit="1" customWidth="1"/>
    <col min="11" max="16384" width="9" style="1"/>
  </cols>
  <sheetData>
    <row r="1" spans="1:10" ht="39.75" customHeight="1" thickBot="1" x14ac:dyDescent="0.25">
      <c r="A1" s="9" t="s">
        <v>14</v>
      </c>
      <c r="B1" s="9" t="s">
        <v>13</v>
      </c>
      <c r="C1" s="9" t="s">
        <v>12</v>
      </c>
      <c r="D1" s="5" t="s">
        <v>10</v>
      </c>
      <c r="E1" s="5" t="s">
        <v>9</v>
      </c>
      <c r="F1" s="5" t="s">
        <v>8</v>
      </c>
      <c r="G1" s="4" t="s">
        <v>7</v>
      </c>
      <c r="H1" s="9" t="s">
        <v>6</v>
      </c>
      <c r="I1" s="3" t="s">
        <v>4</v>
      </c>
      <c r="J1" s="3" t="s">
        <v>3</v>
      </c>
    </row>
    <row r="2" spans="1:10" ht="15" thickBot="1" x14ac:dyDescent="0.25">
      <c r="A2" s="102" t="s">
        <v>25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s="6" customFormat="1" ht="15" customHeight="1" thickBot="1" x14ac:dyDescent="0.25">
      <c r="A3" s="117" t="s">
        <v>26</v>
      </c>
      <c r="B3" s="115" t="s">
        <v>25</v>
      </c>
      <c r="C3" s="108" t="s">
        <v>16</v>
      </c>
      <c r="D3" s="109">
        <f>NETWORKDAYS.INTL(F3,G3,7) -1</f>
        <v>1</v>
      </c>
      <c r="E3" s="109">
        <f>NETWORKDAYS.INTL(F3,G3,7) -1</f>
        <v>1</v>
      </c>
      <c r="F3" s="93">
        <v>46015</v>
      </c>
      <c r="G3" s="93">
        <v>46016</v>
      </c>
      <c r="H3" s="49"/>
      <c r="I3" s="52"/>
      <c r="J3" s="106">
        <f>SUM(E3:E6)</f>
        <v>5</v>
      </c>
    </row>
    <row r="4" spans="1:10" s="6" customFormat="1" ht="15" thickBot="1" x14ac:dyDescent="0.25">
      <c r="A4" s="107"/>
      <c r="B4" s="97"/>
      <c r="C4" s="95" t="s">
        <v>15</v>
      </c>
      <c r="D4" s="94">
        <f t="shared" ref="D4" si="0">NETWORKDAYS.INTL(F4,G4,7) -1</f>
        <v>1</v>
      </c>
      <c r="E4" s="94">
        <f t="shared" ref="E4:E5" si="1">NETWORKDAYS.INTL(F4,G4,7) -1</f>
        <v>1</v>
      </c>
      <c r="F4" s="93">
        <v>46019</v>
      </c>
      <c r="G4" s="93">
        <v>46020</v>
      </c>
      <c r="H4" s="50"/>
      <c r="I4" s="53"/>
      <c r="J4" s="114"/>
    </row>
    <row r="5" spans="1:10" s="6" customFormat="1" ht="15" thickBot="1" x14ac:dyDescent="0.25">
      <c r="A5" s="107"/>
      <c r="B5" s="97"/>
      <c r="C5" s="96" t="s">
        <v>2</v>
      </c>
      <c r="D5" s="94">
        <v>1</v>
      </c>
      <c r="E5" s="94">
        <f t="shared" si="1"/>
        <v>2</v>
      </c>
      <c r="F5" s="93">
        <v>46019</v>
      </c>
      <c r="G5" s="93">
        <v>46021</v>
      </c>
      <c r="H5" s="50"/>
      <c r="I5" s="53"/>
      <c r="J5" s="114"/>
    </row>
    <row r="6" spans="1:10" s="6" customFormat="1" x14ac:dyDescent="0.2">
      <c r="A6" s="107"/>
      <c r="B6" s="97"/>
      <c r="C6" s="96" t="s">
        <v>21</v>
      </c>
      <c r="D6" s="94">
        <f>NETWORKDAYS.INTL(F6,G6,7) -1</f>
        <v>7</v>
      </c>
      <c r="E6" s="94">
        <v>1</v>
      </c>
      <c r="F6" s="93">
        <v>46022</v>
      </c>
      <c r="G6" s="93">
        <v>46033</v>
      </c>
      <c r="H6" s="50"/>
      <c r="I6" s="53"/>
      <c r="J6" s="114"/>
    </row>
    <row r="7" spans="1:10" s="6" customFormat="1" ht="34.5" x14ac:dyDescent="0.2">
      <c r="A7" s="118"/>
      <c r="B7" s="116"/>
      <c r="C7" s="98" t="s">
        <v>1</v>
      </c>
      <c r="D7" s="58">
        <v>46021</v>
      </c>
      <c r="E7" s="59"/>
      <c r="F7" s="59"/>
      <c r="G7" s="60"/>
      <c r="H7" s="51"/>
      <c r="I7" s="54"/>
      <c r="J7" s="113"/>
    </row>
    <row r="8" spans="1:10" ht="15" thickBot="1" x14ac:dyDescent="0.25">
      <c r="A8" s="102" t="s">
        <v>29</v>
      </c>
      <c r="B8" s="103"/>
      <c r="C8" s="103"/>
      <c r="D8" s="103"/>
      <c r="E8" s="103"/>
      <c r="F8" s="103"/>
      <c r="G8" s="103"/>
      <c r="H8" s="103"/>
      <c r="I8" s="103"/>
      <c r="J8" s="103"/>
    </row>
    <row r="9" spans="1:10" s="6" customFormat="1" ht="15" customHeight="1" thickBot="1" x14ac:dyDescent="0.25">
      <c r="A9" s="117" t="s">
        <v>30</v>
      </c>
      <c r="B9" s="115" t="s">
        <v>29</v>
      </c>
      <c r="C9" s="108" t="s">
        <v>16</v>
      </c>
      <c r="D9" s="109">
        <f>NETWORKDAYS.INTL(F9,G9,7) -1</f>
        <v>1</v>
      </c>
      <c r="E9" s="109">
        <f>NETWORKDAYS.INTL(F9,G9,7) -1</f>
        <v>1</v>
      </c>
      <c r="F9" s="93">
        <v>46015</v>
      </c>
      <c r="G9" s="93">
        <v>46016</v>
      </c>
      <c r="H9" s="49"/>
      <c r="I9" s="52"/>
      <c r="J9" s="106">
        <f>SUM(E9:E12)</f>
        <v>5</v>
      </c>
    </row>
    <row r="10" spans="1:10" s="6" customFormat="1" ht="15" thickBot="1" x14ac:dyDescent="0.25">
      <c r="A10" s="107"/>
      <c r="B10" s="97"/>
      <c r="C10" s="95" t="s">
        <v>15</v>
      </c>
      <c r="D10" s="94">
        <f t="shared" ref="D10:D11" si="2">NETWORKDAYS.INTL(F10,G10,7) -1</f>
        <v>1</v>
      </c>
      <c r="E10" s="94">
        <f t="shared" ref="E10:E11" si="3">NETWORKDAYS.INTL(F10,G10,7) -1</f>
        <v>1</v>
      </c>
      <c r="F10" s="93">
        <v>46019</v>
      </c>
      <c r="G10" s="93">
        <v>46020</v>
      </c>
      <c r="H10" s="50"/>
      <c r="I10" s="53"/>
      <c r="J10" s="114"/>
    </row>
    <row r="11" spans="1:10" s="6" customFormat="1" ht="15" thickBot="1" x14ac:dyDescent="0.25">
      <c r="A11" s="107"/>
      <c r="B11" s="97"/>
      <c r="C11" s="96" t="s">
        <v>2</v>
      </c>
      <c r="D11" s="94">
        <v>1</v>
      </c>
      <c r="E11" s="94">
        <f t="shared" si="3"/>
        <v>2</v>
      </c>
      <c r="F11" s="93">
        <v>46019</v>
      </c>
      <c r="G11" s="93">
        <v>46021</v>
      </c>
      <c r="H11" s="50"/>
      <c r="I11" s="53"/>
      <c r="J11" s="114"/>
    </row>
    <row r="12" spans="1:10" s="6" customFormat="1" x14ac:dyDescent="0.2">
      <c r="A12" s="107"/>
      <c r="B12" s="97"/>
      <c r="C12" s="96" t="s">
        <v>21</v>
      </c>
      <c r="D12" s="94">
        <f>NETWORKDAYS.INTL(F12,G12,7) -1</f>
        <v>7</v>
      </c>
      <c r="E12" s="94">
        <v>1</v>
      </c>
      <c r="F12" s="93">
        <v>46022</v>
      </c>
      <c r="G12" s="93">
        <v>46033</v>
      </c>
      <c r="H12" s="50"/>
      <c r="I12" s="53"/>
      <c r="J12" s="114"/>
    </row>
    <row r="13" spans="1:10" s="6" customFormat="1" ht="34.5" x14ac:dyDescent="0.2">
      <c r="A13" s="118"/>
      <c r="B13" s="116"/>
      <c r="C13" s="98" t="s">
        <v>1</v>
      </c>
      <c r="D13" s="58">
        <v>46021</v>
      </c>
      <c r="E13" s="59"/>
      <c r="F13" s="59"/>
      <c r="G13" s="60"/>
      <c r="H13" s="51"/>
      <c r="I13" s="54"/>
      <c r="J13" s="113"/>
    </row>
    <row r="14" spans="1:10" x14ac:dyDescent="0.2">
      <c r="A14" s="102" t="s">
        <v>37</v>
      </c>
      <c r="B14" s="103"/>
      <c r="C14" s="103"/>
      <c r="D14" s="103"/>
      <c r="E14" s="103"/>
      <c r="F14" s="103"/>
      <c r="G14" s="103"/>
      <c r="H14" s="103"/>
      <c r="I14" s="103"/>
      <c r="J14" s="103"/>
    </row>
    <row r="15" spans="1:10" s="6" customFormat="1" ht="15" thickBot="1" x14ac:dyDescent="0.25">
      <c r="A15" s="50" t="s">
        <v>35</v>
      </c>
      <c r="B15" s="122" t="s">
        <v>37</v>
      </c>
      <c r="C15" s="108" t="s">
        <v>16</v>
      </c>
      <c r="D15" s="109">
        <f>NETWORKDAYS.INTL(F15,G15,7) -1</f>
        <v>1</v>
      </c>
      <c r="E15" s="109">
        <f t="shared" ref="E15:E18" si="4">NETWORKDAYS.INTL(F15,G15,7) -1</f>
        <v>1</v>
      </c>
      <c r="F15" s="123">
        <v>46022</v>
      </c>
      <c r="G15" s="13">
        <v>46023</v>
      </c>
      <c r="H15" s="51"/>
      <c r="I15" s="53"/>
      <c r="J15" s="43">
        <f>SUM(E15:E18)</f>
        <v>7</v>
      </c>
    </row>
    <row r="16" spans="1:10" s="6" customFormat="1" ht="15" thickBot="1" x14ac:dyDescent="0.25">
      <c r="A16" s="50"/>
      <c r="B16" s="80"/>
      <c r="C16" s="95" t="s">
        <v>15</v>
      </c>
      <c r="D16" s="94">
        <f t="shared" ref="D16:D17" si="5">NETWORKDAYS.INTL(F16,G16,7) -1</f>
        <v>1</v>
      </c>
      <c r="E16" s="94">
        <f t="shared" si="4"/>
        <v>1</v>
      </c>
      <c r="F16" s="7">
        <v>46026</v>
      </c>
      <c r="G16" s="7">
        <v>46027</v>
      </c>
      <c r="H16" s="45"/>
      <c r="I16" s="53"/>
      <c r="J16" s="43"/>
    </row>
    <row r="17" spans="1:10" s="6" customFormat="1" ht="15" thickBot="1" x14ac:dyDescent="0.25">
      <c r="A17" s="50"/>
      <c r="B17" s="80"/>
      <c r="C17" s="96" t="s">
        <v>2</v>
      </c>
      <c r="D17" s="94">
        <f t="shared" si="5"/>
        <v>1</v>
      </c>
      <c r="E17" s="94">
        <f t="shared" si="4"/>
        <v>1</v>
      </c>
      <c r="F17" s="7">
        <v>46027</v>
      </c>
      <c r="G17" s="7">
        <v>46028</v>
      </c>
      <c r="H17" s="45"/>
      <c r="I17" s="53"/>
      <c r="J17" s="43"/>
    </row>
    <row r="18" spans="1:10" s="6" customFormat="1" x14ac:dyDescent="0.2">
      <c r="A18" s="50"/>
      <c r="B18" s="80"/>
      <c r="C18" s="96" t="s">
        <v>21</v>
      </c>
      <c r="D18" s="94">
        <f>NETWORKDAYS.INTL(F18,G18,7) -1</f>
        <v>4</v>
      </c>
      <c r="E18" s="94">
        <f t="shared" si="4"/>
        <v>4</v>
      </c>
      <c r="F18" s="93">
        <v>46033</v>
      </c>
      <c r="G18" s="93">
        <v>46037</v>
      </c>
      <c r="H18" s="45"/>
      <c r="I18" s="53"/>
      <c r="J18" s="43"/>
    </row>
    <row r="19" spans="1:10" s="6" customFormat="1" ht="34.5" x14ac:dyDescent="0.2">
      <c r="A19" s="50"/>
      <c r="B19" s="110"/>
      <c r="C19" s="98" t="s">
        <v>1</v>
      </c>
      <c r="D19" s="67">
        <v>46033</v>
      </c>
      <c r="E19" s="59"/>
      <c r="F19" s="59"/>
      <c r="G19" s="68"/>
      <c r="H19" s="49"/>
      <c r="I19" s="53"/>
      <c r="J19" s="43"/>
    </row>
    <row r="20" spans="1:10" ht="15" thickBot="1" x14ac:dyDescent="0.25">
      <c r="A20" s="124" t="s">
        <v>34</v>
      </c>
      <c r="B20" s="125"/>
      <c r="C20" s="125"/>
      <c r="D20" s="125"/>
      <c r="E20" s="125"/>
      <c r="F20" s="125"/>
      <c r="G20" s="125"/>
      <c r="H20" s="125"/>
      <c r="I20" s="125"/>
      <c r="J20" s="126"/>
    </row>
    <row r="21" spans="1:10" s="6" customFormat="1" ht="15" thickBot="1" x14ac:dyDescent="0.25">
      <c r="A21" s="45" t="s">
        <v>33</v>
      </c>
      <c r="B21" s="111" t="s">
        <v>34</v>
      </c>
      <c r="C21" s="108" t="s">
        <v>16</v>
      </c>
      <c r="D21" s="127">
        <f>NETWORKDAYS.INTL(F21,G21,7) -1</f>
        <v>0</v>
      </c>
      <c r="E21" s="19">
        <v>0.5</v>
      </c>
      <c r="F21" s="128">
        <v>46033</v>
      </c>
      <c r="G21" s="128">
        <v>46033</v>
      </c>
      <c r="H21" s="112"/>
      <c r="I21" s="40"/>
      <c r="J21" s="113">
        <f>SUM(E21:E25)</f>
        <v>3.5</v>
      </c>
    </row>
    <row r="22" spans="1:10" s="6" customFormat="1" ht="15" thickBot="1" x14ac:dyDescent="0.25">
      <c r="A22" s="45"/>
      <c r="B22" s="80"/>
      <c r="C22" s="95" t="s">
        <v>15</v>
      </c>
      <c r="D22" s="127">
        <f t="shared" ref="D22:D24" si="6">NETWORKDAYS.INTL(F22,G22,7) -1</f>
        <v>1</v>
      </c>
      <c r="E22" s="19">
        <v>1</v>
      </c>
      <c r="F22" s="128">
        <v>46033</v>
      </c>
      <c r="G22" s="93">
        <v>46034</v>
      </c>
      <c r="H22" s="37"/>
      <c r="I22" s="40"/>
      <c r="J22" s="24"/>
    </row>
    <row r="23" spans="1:10" s="6" customFormat="1" ht="15" thickBot="1" x14ac:dyDescent="0.25">
      <c r="A23" s="45"/>
      <c r="B23" s="80"/>
      <c r="C23" s="96" t="s">
        <v>2</v>
      </c>
      <c r="D23" s="127">
        <f t="shared" si="6"/>
        <v>1</v>
      </c>
      <c r="E23" s="19">
        <v>1</v>
      </c>
      <c r="F23" s="93">
        <v>46034</v>
      </c>
      <c r="G23" s="93">
        <v>46035</v>
      </c>
      <c r="H23" s="37"/>
      <c r="I23" s="40"/>
      <c r="J23" s="24"/>
    </row>
    <row r="24" spans="1:10" s="6" customFormat="1" x14ac:dyDescent="0.2">
      <c r="A24" s="45"/>
      <c r="B24" s="80"/>
      <c r="C24" s="96" t="s">
        <v>21</v>
      </c>
      <c r="D24" s="127">
        <f t="shared" si="6"/>
        <v>2</v>
      </c>
      <c r="E24" s="19">
        <v>1</v>
      </c>
      <c r="F24" s="93">
        <v>46035</v>
      </c>
      <c r="G24" s="93">
        <v>46037</v>
      </c>
      <c r="H24" s="37"/>
      <c r="I24" s="40"/>
      <c r="J24" s="24"/>
    </row>
    <row r="25" spans="1:10" s="6" customFormat="1" ht="35.25" thickBot="1" x14ac:dyDescent="0.25">
      <c r="A25" s="45"/>
      <c r="B25" s="80"/>
      <c r="C25" s="96" t="s">
        <v>1</v>
      </c>
      <c r="D25" s="67">
        <v>46035</v>
      </c>
      <c r="E25" s="59"/>
      <c r="F25" s="59"/>
      <c r="G25" s="68"/>
      <c r="H25" s="37"/>
      <c r="I25" s="40"/>
      <c r="J25" s="24"/>
    </row>
    <row r="26" spans="1:10" ht="15" thickBot="1" x14ac:dyDescent="0.25">
      <c r="A26" s="149" t="s">
        <v>32</v>
      </c>
      <c r="B26" s="150"/>
      <c r="C26" s="150"/>
      <c r="D26" s="150"/>
      <c r="E26" s="150"/>
      <c r="F26" s="150"/>
      <c r="G26" s="150"/>
      <c r="H26" s="150"/>
      <c r="I26" s="150"/>
      <c r="J26" s="151"/>
    </row>
  </sheetData>
  <mergeCells count="29">
    <mergeCell ref="I15:I19"/>
    <mergeCell ref="J15:J19"/>
    <mergeCell ref="D19:G19"/>
    <mergeCell ref="A26:J26"/>
    <mergeCell ref="A21:A25"/>
    <mergeCell ref="B21:B25"/>
    <mergeCell ref="H21:H25"/>
    <mergeCell ref="I21:I25"/>
    <mergeCell ref="J21:J25"/>
    <mergeCell ref="D25:G25"/>
    <mergeCell ref="A20:J20"/>
    <mergeCell ref="A14:J14"/>
    <mergeCell ref="A15:A19"/>
    <mergeCell ref="B15:B19"/>
    <mergeCell ref="H15:H19"/>
    <mergeCell ref="H9:H13"/>
    <mergeCell ref="I9:I13"/>
    <mergeCell ref="J9:J13"/>
    <mergeCell ref="D13:G13"/>
    <mergeCell ref="A2:J2"/>
    <mergeCell ref="A3:A7"/>
    <mergeCell ref="B3:B7"/>
    <mergeCell ref="H3:H7"/>
    <mergeCell ref="I3:I7"/>
    <mergeCell ref="J3:J7"/>
    <mergeCell ref="D7:G7"/>
    <mergeCell ref="A8:J8"/>
    <mergeCell ref="A9:A13"/>
    <mergeCell ref="B9:B13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"/>
  <sheetViews>
    <sheetView rightToLeft="1" zoomScaleNormal="100" workbookViewId="0">
      <selection activeCell="A7" sqref="A7:L7"/>
    </sheetView>
  </sheetViews>
  <sheetFormatPr defaultRowHeight="14.25" x14ac:dyDescent="0.2"/>
  <cols>
    <col min="1" max="1" width="15.625" style="1" customWidth="1"/>
    <col min="2" max="2" width="23" style="1" customWidth="1"/>
    <col min="3" max="3" width="54.75" style="1" bestFit="1" customWidth="1"/>
    <col min="4" max="4" width="17.5" style="1" customWidth="1"/>
    <col min="5" max="7" width="9" style="2"/>
    <col min="8" max="8" width="11.5" style="2" bestFit="1" customWidth="1"/>
    <col min="9" max="9" width="25.5" style="1" customWidth="1"/>
    <col min="10" max="10" width="21.25" style="1" customWidth="1"/>
    <col min="11" max="11" width="9.75" style="1" bestFit="1" customWidth="1"/>
    <col min="12" max="12" width="10.125" style="1" bestFit="1" customWidth="1"/>
    <col min="13" max="16384" width="9" style="1"/>
  </cols>
  <sheetData>
    <row r="1" spans="1:12" ht="39.75" customHeight="1" thickBot="1" x14ac:dyDescent="0.25">
      <c r="A1" s="9" t="s">
        <v>14</v>
      </c>
      <c r="B1" s="9" t="s">
        <v>13</v>
      </c>
      <c r="C1" s="4" t="s">
        <v>12</v>
      </c>
      <c r="D1" s="9" t="s">
        <v>11</v>
      </c>
      <c r="E1" s="5" t="s">
        <v>10</v>
      </c>
      <c r="F1" s="5" t="s">
        <v>9</v>
      </c>
      <c r="G1" s="5" t="s">
        <v>8</v>
      </c>
      <c r="H1" s="4" t="s">
        <v>7</v>
      </c>
      <c r="I1" s="9" t="s">
        <v>6</v>
      </c>
      <c r="J1" s="3" t="s">
        <v>5</v>
      </c>
      <c r="K1" s="3" t="s">
        <v>4</v>
      </c>
      <c r="L1" s="3" t="s">
        <v>3</v>
      </c>
    </row>
    <row r="2" spans="1:12" s="6" customFormat="1" x14ac:dyDescent="0.2">
      <c r="A2" s="49"/>
      <c r="B2" s="30"/>
      <c r="C2" s="87" t="s">
        <v>16</v>
      </c>
      <c r="D2" s="85">
        <v>0.9</v>
      </c>
      <c r="E2" s="10">
        <f>_xlfn.DAYS(H2,G2)</f>
        <v>0</v>
      </c>
      <c r="F2" s="92">
        <f>_xlfn.DAYS(H2,G2)</f>
        <v>0</v>
      </c>
      <c r="G2" s="8">
        <f>DATE( 2025,12,31)</f>
        <v>46022</v>
      </c>
      <c r="H2" s="8">
        <f>DATE( 2025,12,31)</f>
        <v>46022</v>
      </c>
      <c r="I2" s="45"/>
      <c r="J2" s="40"/>
      <c r="K2" s="52"/>
      <c r="L2" s="42">
        <f>SUM(F2:F6)</f>
        <v>6</v>
      </c>
    </row>
    <row r="3" spans="1:12" s="6" customFormat="1" x14ac:dyDescent="0.2">
      <c r="A3" s="50"/>
      <c r="B3" s="80"/>
      <c r="C3" s="88" t="s">
        <v>15</v>
      </c>
      <c r="D3" s="85"/>
      <c r="E3" s="11">
        <v>3</v>
      </c>
      <c r="F3" s="12">
        <v>3</v>
      </c>
      <c r="G3" s="13">
        <v>45928</v>
      </c>
      <c r="H3" s="14">
        <v>45933</v>
      </c>
      <c r="I3" s="45"/>
      <c r="J3" s="40"/>
      <c r="K3" s="53"/>
      <c r="L3" s="43"/>
    </row>
    <row r="4" spans="1:12" s="6" customFormat="1" x14ac:dyDescent="0.2">
      <c r="A4" s="50"/>
      <c r="B4" s="30"/>
      <c r="C4" s="89" t="s">
        <v>2</v>
      </c>
      <c r="D4" s="86"/>
      <c r="E4" s="73">
        <v>2</v>
      </c>
      <c r="F4" s="55">
        <v>1</v>
      </c>
      <c r="G4" s="74">
        <v>45933</v>
      </c>
      <c r="H4" s="75">
        <v>45936</v>
      </c>
      <c r="I4" s="45"/>
      <c r="J4" s="40"/>
      <c r="K4" s="53"/>
      <c r="L4" s="43"/>
    </row>
    <row r="5" spans="1:12" s="6" customFormat="1" ht="34.5" x14ac:dyDescent="0.2">
      <c r="A5" s="50"/>
      <c r="B5" s="30"/>
      <c r="C5" s="90" t="s">
        <v>1</v>
      </c>
      <c r="D5" s="86"/>
      <c r="E5" s="58">
        <v>45936</v>
      </c>
      <c r="F5" s="59"/>
      <c r="G5" s="59"/>
      <c r="H5" s="60"/>
      <c r="I5" s="45"/>
      <c r="J5" s="40"/>
      <c r="K5" s="53"/>
      <c r="L5" s="43"/>
    </row>
    <row r="6" spans="1:12" s="6" customFormat="1" ht="15" thickBot="1" x14ac:dyDescent="0.25">
      <c r="A6" s="51"/>
      <c r="B6" s="30"/>
      <c r="C6" s="91" t="s">
        <v>0</v>
      </c>
      <c r="D6" s="86"/>
      <c r="E6" s="76">
        <v>5</v>
      </c>
      <c r="F6" s="77">
        <v>2</v>
      </c>
      <c r="G6" s="78">
        <v>45936</v>
      </c>
      <c r="H6" s="79"/>
      <c r="I6" s="45"/>
      <c r="J6" s="40"/>
      <c r="K6" s="54"/>
      <c r="L6" s="44"/>
    </row>
    <row r="7" spans="1:12" ht="15" thickBot="1" x14ac:dyDescent="0.25">
      <c r="A7" s="46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1:12" s="6" customFormat="1" ht="15" thickBot="1" x14ac:dyDescent="0.25">
      <c r="A8" s="26"/>
      <c r="B8" s="29"/>
      <c r="C8" s="15" t="s">
        <v>16</v>
      </c>
      <c r="D8" s="32">
        <v>0.9</v>
      </c>
      <c r="E8" s="61">
        <v>1</v>
      </c>
      <c r="F8" s="62">
        <v>1</v>
      </c>
      <c r="G8" s="63">
        <v>45928</v>
      </c>
      <c r="H8" s="64">
        <v>45928</v>
      </c>
      <c r="I8" s="36"/>
      <c r="J8" s="39"/>
      <c r="K8" s="20"/>
      <c r="L8" s="23">
        <f>SUM(F8:F12)</f>
        <v>6</v>
      </c>
    </row>
    <row r="9" spans="1:12" s="6" customFormat="1" x14ac:dyDescent="0.2">
      <c r="A9" s="27"/>
      <c r="B9" s="30"/>
      <c r="C9" s="15" t="s">
        <v>15</v>
      </c>
      <c r="D9" s="33"/>
      <c r="E9" s="65">
        <v>1</v>
      </c>
      <c r="F9" s="56">
        <v>1</v>
      </c>
      <c r="G9" s="57">
        <v>45929</v>
      </c>
      <c r="H9" s="66">
        <v>45959</v>
      </c>
      <c r="I9" s="37"/>
      <c r="J9" s="40"/>
      <c r="K9" s="21"/>
      <c r="L9" s="24"/>
    </row>
    <row r="10" spans="1:12" s="6" customFormat="1" x14ac:dyDescent="0.2">
      <c r="A10" s="27"/>
      <c r="B10" s="30"/>
      <c r="C10" s="16" t="s">
        <v>2</v>
      </c>
      <c r="D10" s="34"/>
      <c r="E10" s="65">
        <v>1</v>
      </c>
      <c r="F10" s="56">
        <v>1</v>
      </c>
      <c r="G10" s="57">
        <v>45960</v>
      </c>
      <c r="H10" s="66">
        <v>45960</v>
      </c>
      <c r="I10" s="37"/>
      <c r="J10" s="40"/>
      <c r="K10" s="21"/>
      <c r="L10" s="24"/>
    </row>
    <row r="11" spans="1:12" s="6" customFormat="1" ht="34.5" x14ac:dyDescent="0.2">
      <c r="A11" s="27"/>
      <c r="B11" s="30"/>
      <c r="C11" s="16" t="s">
        <v>1</v>
      </c>
      <c r="D11" s="34"/>
      <c r="E11" s="58">
        <v>45960</v>
      </c>
      <c r="F11" s="59"/>
      <c r="G11" s="59"/>
      <c r="H11" s="60"/>
      <c r="I11" s="37"/>
      <c r="J11" s="40"/>
      <c r="K11" s="21"/>
      <c r="L11" s="24"/>
    </row>
    <row r="12" spans="1:12" s="6" customFormat="1" ht="15" thickBot="1" x14ac:dyDescent="0.25">
      <c r="A12" s="28"/>
      <c r="B12" s="31"/>
      <c r="C12" s="17" t="s">
        <v>0</v>
      </c>
      <c r="D12" s="35"/>
      <c r="E12" s="69">
        <f>_xlfn.DAYS(G12,H12)</f>
        <v>15</v>
      </c>
      <c r="F12" s="70">
        <v>3</v>
      </c>
      <c r="G12" s="71">
        <v>45960</v>
      </c>
      <c r="H12" s="72">
        <v>45945</v>
      </c>
      <c r="I12" s="38"/>
      <c r="J12" s="41"/>
      <c r="K12" s="22"/>
      <c r="L12" s="25"/>
    </row>
    <row r="13" spans="1:12" s="6" customFormat="1" x14ac:dyDescent="0.2">
      <c r="A13" s="48"/>
      <c r="B13" s="29"/>
      <c r="C13" s="82" t="s">
        <v>16</v>
      </c>
      <c r="D13" s="32">
        <v>0.9</v>
      </c>
      <c r="E13" s="65">
        <v>1</v>
      </c>
      <c r="F13" s="56">
        <v>1</v>
      </c>
      <c r="G13" s="57">
        <v>45928</v>
      </c>
      <c r="H13" s="66">
        <v>45928</v>
      </c>
      <c r="I13" s="36"/>
      <c r="J13" s="39"/>
      <c r="K13" s="20"/>
      <c r="L13" s="23">
        <f>SUM(F13:F17)</f>
        <v>6</v>
      </c>
    </row>
    <row r="14" spans="1:12" s="6" customFormat="1" x14ac:dyDescent="0.2">
      <c r="A14" s="27"/>
      <c r="B14" s="80"/>
      <c r="C14" s="84" t="s">
        <v>15</v>
      </c>
      <c r="D14" s="81"/>
      <c r="E14" s="65">
        <v>1</v>
      </c>
      <c r="F14" s="56">
        <v>1</v>
      </c>
      <c r="G14" s="57">
        <v>45929</v>
      </c>
      <c r="H14" s="66">
        <v>45959</v>
      </c>
      <c r="I14" s="37"/>
      <c r="J14" s="40"/>
      <c r="K14" s="21"/>
      <c r="L14" s="24"/>
    </row>
    <row r="15" spans="1:12" s="6" customFormat="1" x14ac:dyDescent="0.2">
      <c r="A15" s="27"/>
      <c r="B15" s="30"/>
      <c r="C15" s="83" t="s">
        <v>2</v>
      </c>
      <c r="D15" s="34"/>
      <c r="E15" s="65">
        <v>1</v>
      </c>
      <c r="F15" s="56">
        <v>1</v>
      </c>
      <c r="G15" s="57">
        <v>45960</v>
      </c>
      <c r="H15" s="66">
        <v>45960</v>
      </c>
      <c r="I15" s="37"/>
      <c r="J15" s="40"/>
      <c r="K15" s="21"/>
      <c r="L15" s="24"/>
    </row>
    <row r="16" spans="1:12" s="6" customFormat="1" ht="34.5" x14ac:dyDescent="0.2">
      <c r="A16" s="27"/>
      <c r="B16" s="30"/>
      <c r="C16" s="16" t="s">
        <v>1</v>
      </c>
      <c r="D16" s="34"/>
      <c r="E16" s="67">
        <v>45954</v>
      </c>
      <c r="F16" s="59"/>
      <c r="G16" s="59"/>
      <c r="H16" s="68"/>
      <c r="I16" s="37"/>
      <c r="J16" s="40"/>
      <c r="K16" s="21"/>
      <c r="L16" s="24"/>
    </row>
    <row r="17" spans="1:12" s="6" customFormat="1" ht="15" thickBot="1" x14ac:dyDescent="0.25">
      <c r="A17" s="28"/>
      <c r="B17" s="31"/>
      <c r="C17" s="17" t="s">
        <v>0</v>
      </c>
      <c r="D17" s="35"/>
      <c r="E17" s="69">
        <f>_xlfn.DAYS(G17,H17)</f>
        <v>15</v>
      </c>
      <c r="F17" s="70">
        <v>3</v>
      </c>
      <c r="G17" s="71">
        <v>45960</v>
      </c>
      <c r="H17" s="72">
        <v>45945</v>
      </c>
      <c r="I17" s="38"/>
      <c r="J17" s="41"/>
      <c r="K17" s="22"/>
      <c r="L17" s="25"/>
    </row>
  </sheetData>
  <mergeCells count="25">
    <mergeCell ref="K13:K17"/>
    <mergeCell ref="L13:L17"/>
    <mergeCell ref="E16:H16"/>
    <mergeCell ref="A13:A17"/>
    <mergeCell ref="B13:B17"/>
    <mergeCell ref="D13:D17"/>
    <mergeCell ref="I13:I17"/>
    <mergeCell ref="J13:J17"/>
    <mergeCell ref="A7:L7"/>
    <mergeCell ref="A8:A12"/>
    <mergeCell ref="B8:B12"/>
    <mergeCell ref="D8:D12"/>
    <mergeCell ref="I8:I12"/>
    <mergeCell ref="J8:J12"/>
    <mergeCell ref="K8:K12"/>
    <mergeCell ref="L8:L12"/>
    <mergeCell ref="E11:H11"/>
    <mergeCell ref="I2:I6"/>
    <mergeCell ref="J2:J6"/>
    <mergeCell ref="A2:A6"/>
    <mergeCell ref="E5:H5"/>
    <mergeCell ref="B2:B6"/>
    <mergeCell ref="D2:D6"/>
    <mergeCell ref="K2:K6"/>
    <mergeCell ref="L2:L6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rightToLeft="1" workbookViewId="0">
      <selection activeCell="B31" sqref="B31"/>
    </sheetView>
  </sheetViews>
  <sheetFormatPr defaultColWidth="14.25" defaultRowHeight="14.25" x14ac:dyDescent="0.2"/>
  <cols>
    <col min="1" max="1" width="9.375" style="1" bestFit="1" customWidth="1"/>
    <col min="2" max="2" width="28.625" style="1" customWidth="1"/>
    <col min="3" max="3" width="19.75" style="1" customWidth="1"/>
    <col min="4" max="4" width="7.75" style="2" bestFit="1" customWidth="1"/>
    <col min="5" max="5" width="5.75" style="2" customWidth="1"/>
    <col min="6" max="6" width="11.5" style="2" bestFit="1" customWidth="1"/>
    <col min="7" max="7" width="9" style="2" bestFit="1" customWidth="1"/>
    <col min="8" max="8" width="20.125" style="1" customWidth="1"/>
    <col min="9" max="9" width="9.75" style="1" bestFit="1" customWidth="1"/>
    <col min="10" max="10" width="10.125" style="1" bestFit="1" customWidth="1"/>
    <col min="11" max="16384" width="14.25" style="1"/>
  </cols>
  <sheetData>
    <row r="1" spans="1:10" s="138" customFormat="1" ht="39.75" customHeight="1" x14ac:dyDescent="0.2">
      <c r="A1" s="137" t="s">
        <v>14</v>
      </c>
      <c r="B1" s="137" t="s">
        <v>13</v>
      </c>
      <c r="C1" s="137" t="s">
        <v>12</v>
      </c>
      <c r="D1" s="120" t="s">
        <v>10</v>
      </c>
      <c r="E1" s="120" t="s">
        <v>9</v>
      </c>
      <c r="F1" s="120" t="s">
        <v>8</v>
      </c>
      <c r="G1" s="137" t="s">
        <v>7</v>
      </c>
      <c r="H1" s="137" t="s">
        <v>6</v>
      </c>
      <c r="I1" s="137" t="s">
        <v>4</v>
      </c>
      <c r="J1" s="137" t="s">
        <v>3</v>
      </c>
    </row>
    <row r="2" spans="1:10" ht="15" thickBot="1" x14ac:dyDescent="0.25">
      <c r="A2" s="102" t="s">
        <v>25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s="6" customFormat="1" ht="15" customHeight="1" thickBot="1" x14ac:dyDescent="0.25">
      <c r="A3" s="117" t="s">
        <v>26</v>
      </c>
      <c r="B3" s="115" t="s">
        <v>25</v>
      </c>
      <c r="C3" s="108" t="s">
        <v>16</v>
      </c>
      <c r="D3" s="109">
        <f>NETWORKDAYS.INTL(F3,G3,7) -1</f>
        <v>1</v>
      </c>
      <c r="E3" s="109">
        <f>NETWORKDAYS.INTL(F3,G3,7) -1</f>
        <v>1</v>
      </c>
      <c r="F3" s="93">
        <v>46015</v>
      </c>
      <c r="G3" s="93">
        <v>46016</v>
      </c>
      <c r="H3" s="49"/>
      <c r="I3" s="52"/>
      <c r="J3" s="106">
        <f>SUM(E3:E6)</f>
        <v>5</v>
      </c>
    </row>
    <row r="4" spans="1:10" s="6" customFormat="1" ht="15" thickBot="1" x14ac:dyDescent="0.25">
      <c r="A4" s="107"/>
      <c r="B4" s="97"/>
      <c r="C4" s="95" t="s">
        <v>15</v>
      </c>
      <c r="D4" s="94">
        <f t="shared" ref="D4" si="0">NETWORKDAYS.INTL(F4,G4,7) -1</f>
        <v>1</v>
      </c>
      <c r="E4" s="94">
        <f t="shared" ref="E4:E5" si="1">NETWORKDAYS.INTL(F4,G4,7) -1</f>
        <v>1</v>
      </c>
      <c r="F4" s="93">
        <v>46019</v>
      </c>
      <c r="G4" s="93">
        <v>46020</v>
      </c>
      <c r="H4" s="50"/>
      <c r="I4" s="53"/>
      <c r="J4" s="114"/>
    </row>
    <row r="5" spans="1:10" s="6" customFormat="1" ht="15" thickBot="1" x14ac:dyDescent="0.25">
      <c r="A5" s="107"/>
      <c r="B5" s="97"/>
      <c r="C5" s="96" t="s">
        <v>2</v>
      </c>
      <c r="D5" s="94">
        <v>1</v>
      </c>
      <c r="E5" s="94">
        <f t="shared" si="1"/>
        <v>2</v>
      </c>
      <c r="F5" s="93">
        <v>46019</v>
      </c>
      <c r="G5" s="93">
        <v>46021</v>
      </c>
      <c r="H5" s="50"/>
      <c r="I5" s="53"/>
      <c r="J5" s="114"/>
    </row>
    <row r="6" spans="1:10" s="6" customFormat="1" x14ac:dyDescent="0.2">
      <c r="A6" s="107"/>
      <c r="B6" s="97"/>
      <c r="C6" s="96" t="s">
        <v>21</v>
      </c>
      <c r="D6" s="94">
        <f>NETWORKDAYS.INTL(F6,G6,7) -1</f>
        <v>7</v>
      </c>
      <c r="E6" s="94">
        <v>1</v>
      </c>
      <c r="F6" s="93">
        <v>46022</v>
      </c>
      <c r="G6" s="93">
        <v>46033</v>
      </c>
      <c r="H6" s="50"/>
      <c r="I6" s="53"/>
      <c r="J6" s="114"/>
    </row>
    <row r="7" spans="1:10" s="6" customFormat="1" ht="34.5" x14ac:dyDescent="0.2">
      <c r="A7" s="118"/>
      <c r="B7" s="116"/>
      <c r="C7" s="98" t="s">
        <v>1</v>
      </c>
      <c r="D7" s="58">
        <v>46021</v>
      </c>
      <c r="E7" s="59"/>
      <c r="F7" s="59"/>
      <c r="G7" s="60"/>
      <c r="H7" s="51"/>
      <c r="I7" s="54"/>
      <c r="J7" s="113"/>
    </row>
    <row r="8" spans="1:10" ht="15" thickBot="1" x14ac:dyDescent="0.25">
      <c r="A8" s="102" t="s">
        <v>29</v>
      </c>
      <c r="B8" s="103"/>
      <c r="C8" s="103"/>
      <c r="D8" s="103"/>
      <c r="E8" s="103"/>
      <c r="F8" s="103"/>
      <c r="G8" s="103"/>
      <c r="H8" s="103"/>
      <c r="I8" s="103"/>
      <c r="J8" s="103"/>
    </row>
    <row r="9" spans="1:10" s="6" customFormat="1" ht="15" customHeight="1" thickBot="1" x14ac:dyDescent="0.25">
      <c r="A9" s="117" t="s">
        <v>30</v>
      </c>
      <c r="B9" s="115" t="s">
        <v>29</v>
      </c>
      <c r="C9" s="108" t="s">
        <v>16</v>
      </c>
      <c r="D9" s="109">
        <f>NETWORKDAYS.INTL(F9,G9,7) -1</f>
        <v>1</v>
      </c>
      <c r="E9" s="109">
        <f>NETWORKDAYS.INTL(F9,G9,7) -1</f>
        <v>1</v>
      </c>
      <c r="F9" s="93">
        <v>46015</v>
      </c>
      <c r="G9" s="93">
        <v>46016</v>
      </c>
      <c r="H9" s="49"/>
      <c r="I9" s="52"/>
      <c r="J9" s="106">
        <f>SUM(E9:E12)</f>
        <v>5</v>
      </c>
    </row>
    <row r="10" spans="1:10" s="6" customFormat="1" ht="15" thickBot="1" x14ac:dyDescent="0.25">
      <c r="A10" s="107"/>
      <c r="B10" s="97"/>
      <c r="C10" s="95" t="s">
        <v>15</v>
      </c>
      <c r="D10" s="94">
        <f t="shared" ref="D10:D11" si="2">NETWORKDAYS.INTL(F10,G10,7) -1</f>
        <v>1</v>
      </c>
      <c r="E10" s="94">
        <f t="shared" ref="E10:E11" si="3">NETWORKDAYS.INTL(F10,G10,7) -1</f>
        <v>1</v>
      </c>
      <c r="F10" s="93">
        <v>46019</v>
      </c>
      <c r="G10" s="93">
        <v>46020</v>
      </c>
      <c r="H10" s="50"/>
      <c r="I10" s="53"/>
      <c r="J10" s="114"/>
    </row>
    <row r="11" spans="1:10" s="6" customFormat="1" ht="15" thickBot="1" x14ac:dyDescent="0.25">
      <c r="A11" s="107"/>
      <c r="B11" s="97"/>
      <c r="C11" s="96" t="s">
        <v>2</v>
      </c>
      <c r="D11" s="94">
        <v>1</v>
      </c>
      <c r="E11" s="94">
        <f t="shared" si="3"/>
        <v>2</v>
      </c>
      <c r="F11" s="93">
        <v>46019</v>
      </c>
      <c r="G11" s="93">
        <v>46021</v>
      </c>
      <c r="H11" s="50"/>
      <c r="I11" s="53"/>
      <c r="J11" s="114"/>
    </row>
    <row r="12" spans="1:10" s="6" customFormat="1" x14ac:dyDescent="0.2">
      <c r="A12" s="107"/>
      <c r="B12" s="97"/>
      <c r="C12" s="96" t="s">
        <v>21</v>
      </c>
      <c r="D12" s="94">
        <f>NETWORKDAYS.INTL(F12,G12,7) -1</f>
        <v>7</v>
      </c>
      <c r="E12" s="94">
        <v>1</v>
      </c>
      <c r="F12" s="93">
        <v>46022</v>
      </c>
      <c r="G12" s="93">
        <v>46033</v>
      </c>
      <c r="H12" s="50"/>
      <c r="I12" s="53"/>
      <c r="J12" s="114"/>
    </row>
    <row r="13" spans="1:10" s="6" customFormat="1" ht="34.5" x14ac:dyDescent="0.2">
      <c r="A13" s="118"/>
      <c r="B13" s="116"/>
      <c r="C13" s="98" t="s">
        <v>1</v>
      </c>
      <c r="D13" s="58">
        <v>46021</v>
      </c>
      <c r="E13" s="59"/>
      <c r="F13" s="59"/>
      <c r="G13" s="60"/>
      <c r="H13" s="51"/>
      <c r="I13" s="54"/>
      <c r="J13" s="113"/>
    </row>
    <row r="14" spans="1:10" ht="15" thickBot="1" x14ac:dyDescent="0.25">
      <c r="A14" s="134" t="s">
        <v>27</v>
      </c>
      <c r="B14" s="135"/>
      <c r="C14" s="135"/>
      <c r="D14" s="135"/>
      <c r="E14" s="135"/>
      <c r="F14" s="135"/>
      <c r="G14" s="135"/>
      <c r="H14" s="135"/>
      <c r="I14" s="135"/>
      <c r="J14" s="136"/>
    </row>
    <row r="15" spans="1:10" s="6" customFormat="1" ht="15" thickBot="1" x14ac:dyDescent="0.25">
      <c r="A15" s="49" t="s">
        <v>23</v>
      </c>
      <c r="B15" s="110" t="s">
        <v>27</v>
      </c>
      <c r="C15" s="95" t="s">
        <v>16</v>
      </c>
      <c r="D15" s="94">
        <f>NETWORKDAYS.INTL(F15,G15,7) -1</f>
        <v>1</v>
      </c>
      <c r="E15" s="94">
        <f t="shared" ref="E15:E18" si="4">NETWORKDAYS.INTL(F15,G15,7) -1</f>
        <v>1</v>
      </c>
      <c r="F15" s="93">
        <v>46022</v>
      </c>
      <c r="G15" s="7">
        <v>46023</v>
      </c>
      <c r="H15" s="105"/>
      <c r="I15" s="52"/>
      <c r="J15" s="132">
        <f>SUM(E15:E18)</f>
        <v>9</v>
      </c>
    </row>
    <row r="16" spans="1:10" s="6" customFormat="1" ht="15" thickBot="1" x14ac:dyDescent="0.25">
      <c r="A16" s="50"/>
      <c r="B16" s="133"/>
      <c r="C16" s="95" t="s">
        <v>15</v>
      </c>
      <c r="D16" s="94">
        <f t="shared" ref="D16:D17" si="5">NETWORKDAYS.INTL(F16,G16,7) -1</f>
        <v>2</v>
      </c>
      <c r="E16" s="94">
        <f t="shared" si="4"/>
        <v>2</v>
      </c>
      <c r="F16" s="7">
        <v>46026</v>
      </c>
      <c r="G16" s="7">
        <v>46028</v>
      </c>
      <c r="H16" s="131"/>
      <c r="I16" s="53"/>
      <c r="J16" s="114"/>
    </row>
    <row r="17" spans="1:10" s="6" customFormat="1" ht="15" thickBot="1" x14ac:dyDescent="0.25">
      <c r="A17" s="50"/>
      <c r="B17" s="133"/>
      <c r="C17" s="96" t="s">
        <v>2</v>
      </c>
      <c r="D17" s="94">
        <f t="shared" si="5"/>
        <v>2</v>
      </c>
      <c r="E17" s="94">
        <f t="shared" si="4"/>
        <v>2</v>
      </c>
      <c r="F17" s="7">
        <v>46028</v>
      </c>
      <c r="G17" s="7">
        <v>46030</v>
      </c>
      <c r="H17" s="131"/>
      <c r="I17" s="53"/>
      <c r="J17" s="114"/>
    </row>
    <row r="18" spans="1:10" s="6" customFormat="1" x14ac:dyDescent="0.2">
      <c r="A18" s="50"/>
      <c r="B18" s="133"/>
      <c r="C18" s="96" t="s">
        <v>21</v>
      </c>
      <c r="D18" s="94">
        <f>NETWORKDAYS.INTL(F18,G18,7) -1</f>
        <v>4</v>
      </c>
      <c r="E18" s="94">
        <f t="shared" si="4"/>
        <v>4</v>
      </c>
      <c r="F18" s="93">
        <v>46033</v>
      </c>
      <c r="G18" s="93">
        <v>46037</v>
      </c>
      <c r="H18" s="131"/>
      <c r="I18" s="53"/>
      <c r="J18" s="114"/>
    </row>
    <row r="19" spans="1:10" s="6" customFormat="1" ht="34.5" x14ac:dyDescent="0.2">
      <c r="A19" s="51"/>
      <c r="B19" s="122"/>
      <c r="C19" s="98" t="s">
        <v>1</v>
      </c>
      <c r="D19" s="67">
        <v>46033</v>
      </c>
      <c r="E19" s="59"/>
      <c r="F19" s="59"/>
      <c r="G19" s="68"/>
      <c r="H19" s="112"/>
      <c r="I19" s="54"/>
      <c r="J19" s="113"/>
    </row>
    <row r="20" spans="1:10" ht="15" thickBot="1" x14ac:dyDescent="0.25">
      <c r="A20" s="124" t="s">
        <v>34</v>
      </c>
      <c r="B20" s="125"/>
      <c r="C20" s="125"/>
      <c r="D20" s="125"/>
      <c r="E20" s="125"/>
      <c r="F20" s="125"/>
      <c r="G20" s="125"/>
      <c r="H20" s="125"/>
      <c r="I20" s="125"/>
      <c r="J20" s="126"/>
    </row>
    <row r="21" spans="1:10" s="6" customFormat="1" ht="15" thickBot="1" x14ac:dyDescent="0.25">
      <c r="A21" s="45" t="s">
        <v>33</v>
      </c>
      <c r="B21" s="111" t="s">
        <v>34</v>
      </c>
      <c r="C21" s="108" t="s">
        <v>16</v>
      </c>
      <c r="D21" s="127">
        <f>NETWORKDAYS.INTL(F21,G21,7) -1</f>
        <v>0</v>
      </c>
      <c r="E21" s="19">
        <v>0.5</v>
      </c>
      <c r="F21" s="128">
        <v>46033</v>
      </c>
      <c r="G21" s="128">
        <v>46033</v>
      </c>
      <c r="H21" s="112"/>
      <c r="I21" s="40"/>
      <c r="J21" s="113">
        <f>SUM(E21:E25)</f>
        <v>3.5</v>
      </c>
    </row>
    <row r="22" spans="1:10" s="6" customFormat="1" ht="15" thickBot="1" x14ac:dyDescent="0.25">
      <c r="A22" s="45"/>
      <c r="B22" s="80"/>
      <c r="C22" s="95" t="s">
        <v>15</v>
      </c>
      <c r="D22" s="127">
        <f t="shared" ref="D22:D24" si="6">NETWORKDAYS.INTL(F22,G22,7) -1</f>
        <v>1</v>
      </c>
      <c r="E22" s="19">
        <v>1</v>
      </c>
      <c r="F22" s="128">
        <v>46033</v>
      </c>
      <c r="G22" s="93">
        <v>46034</v>
      </c>
      <c r="H22" s="37"/>
      <c r="I22" s="40"/>
      <c r="J22" s="24"/>
    </row>
    <row r="23" spans="1:10" s="6" customFormat="1" ht="15" thickBot="1" x14ac:dyDescent="0.25">
      <c r="A23" s="45"/>
      <c r="B23" s="80"/>
      <c r="C23" s="96" t="s">
        <v>2</v>
      </c>
      <c r="D23" s="127">
        <f t="shared" si="6"/>
        <v>1</v>
      </c>
      <c r="E23" s="19">
        <v>1</v>
      </c>
      <c r="F23" s="93">
        <v>46034</v>
      </c>
      <c r="G23" s="93">
        <v>46035</v>
      </c>
      <c r="H23" s="37"/>
      <c r="I23" s="40"/>
      <c r="J23" s="24"/>
    </row>
    <row r="24" spans="1:10" s="6" customFormat="1" x14ac:dyDescent="0.2">
      <c r="A24" s="45"/>
      <c r="B24" s="80"/>
      <c r="C24" s="96" t="s">
        <v>21</v>
      </c>
      <c r="D24" s="127">
        <f t="shared" si="6"/>
        <v>2</v>
      </c>
      <c r="E24" s="19">
        <v>1</v>
      </c>
      <c r="F24" s="93">
        <v>46035</v>
      </c>
      <c r="G24" s="93">
        <v>46037</v>
      </c>
      <c r="H24" s="37"/>
      <c r="I24" s="40"/>
      <c r="J24" s="24"/>
    </row>
    <row r="25" spans="1:10" s="6" customFormat="1" ht="35.25" thickBot="1" x14ac:dyDescent="0.25">
      <c r="A25" s="45"/>
      <c r="B25" s="80"/>
      <c r="C25" s="96" t="s">
        <v>1</v>
      </c>
      <c r="D25" s="67">
        <v>46035</v>
      </c>
      <c r="E25" s="59"/>
      <c r="F25" s="59"/>
      <c r="G25" s="68"/>
      <c r="H25" s="37"/>
      <c r="I25" s="40"/>
      <c r="J25" s="24"/>
    </row>
    <row r="26" spans="1:10" ht="15" thickBot="1" x14ac:dyDescent="0.25">
      <c r="A26" s="149" t="s">
        <v>32</v>
      </c>
      <c r="B26" s="150"/>
      <c r="C26" s="150"/>
      <c r="D26" s="150"/>
      <c r="E26" s="150"/>
      <c r="F26" s="150"/>
      <c r="G26" s="150"/>
      <c r="H26" s="150"/>
      <c r="I26" s="150"/>
      <c r="J26" s="151"/>
    </row>
  </sheetData>
  <mergeCells count="29">
    <mergeCell ref="A14:J14"/>
    <mergeCell ref="A20:J20"/>
    <mergeCell ref="A21:A25"/>
    <mergeCell ref="B21:B25"/>
    <mergeCell ref="H21:H25"/>
    <mergeCell ref="I21:I25"/>
    <mergeCell ref="J21:J25"/>
    <mergeCell ref="D25:G25"/>
    <mergeCell ref="A8:J8"/>
    <mergeCell ref="A9:A13"/>
    <mergeCell ref="B9:B13"/>
    <mergeCell ref="H9:H13"/>
    <mergeCell ref="I9:I13"/>
    <mergeCell ref="J9:J13"/>
    <mergeCell ref="D13:G13"/>
    <mergeCell ref="H3:H7"/>
    <mergeCell ref="I3:I7"/>
    <mergeCell ref="J3:J7"/>
    <mergeCell ref="D7:G7"/>
    <mergeCell ref="A2:J2"/>
    <mergeCell ref="A3:A7"/>
    <mergeCell ref="B3:B7"/>
    <mergeCell ref="D19:G19"/>
    <mergeCell ref="A26:J26"/>
    <mergeCell ref="A15:A19"/>
    <mergeCell ref="H15:H19"/>
    <mergeCell ref="I15:I19"/>
    <mergeCell ref="B15:B19"/>
    <mergeCell ref="J15:J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rightToLeft="1" zoomScale="110" zoomScaleNormal="110" workbookViewId="0">
      <selection activeCell="I1" sqref="I1:I1048576"/>
    </sheetView>
  </sheetViews>
  <sheetFormatPr defaultRowHeight="14.25" x14ac:dyDescent="0.2"/>
  <cols>
    <col min="1" max="1" width="9.375" style="1" bestFit="1" customWidth="1"/>
    <col min="2" max="2" width="20.5" style="1" customWidth="1"/>
    <col min="3" max="3" width="11.875" style="1" bestFit="1" customWidth="1"/>
    <col min="4" max="4" width="7.75" style="2" bestFit="1" customWidth="1"/>
    <col min="5" max="5" width="5.25" style="2" bestFit="1" customWidth="1"/>
    <col min="6" max="6" width="6.625" style="2" bestFit="1" customWidth="1"/>
    <col min="7" max="7" width="9" style="2" bestFit="1" customWidth="1"/>
    <col min="8" max="8" width="13.75" style="1" customWidth="1"/>
    <col min="9" max="9" width="9.75" style="1" bestFit="1" customWidth="1"/>
    <col min="10" max="10" width="10.125" style="1" bestFit="1" customWidth="1"/>
    <col min="11" max="16384" width="9" style="1"/>
  </cols>
  <sheetData>
    <row r="1" spans="1:10" ht="39.75" customHeight="1" thickBot="1" x14ac:dyDescent="0.25">
      <c r="A1" s="9" t="s">
        <v>14</v>
      </c>
      <c r="B1" s="9" t="s">
        <v>13</v>
      </c>
      <c r="C1" s="9" t="s">
        <v>12</v>
      </c>
      <c r="D1" s="5" t="s">
        <v>10</v>
      </c>
      <c r="E1" s="5" t="s">
        <v>9</v>
      </c>
      <c r="F1" s="5" t="s">
        <v>8</v>
      </c>
      <c r="G1" s="4" t="s">
        <v>7</v>
      </c>
      <c r="H1" s="9" t="s">
        <v>6</v>
      </c>
      <c r="I1" s="3" t="s">
        <v>4</v>
      </c>
      <c r="J1" s="3" t="s">
        <v>3</v>
      </c>
    </row>
    <row r="2" spans="1:10" s="6" customFormat="1" ht="15" thickBot="1" x14ac:dyDescent="0.25">
      <c r="A2" s="49" t="s">
        <v>23</v>
      </c>
      <c r="B2" s="30" t="s">
        <v>24</v>
      </c>
      <c r="C2" s="95" t="s">
        <v>16</v>
      </c>
      <c r="D2" s="94">
        <f>NETWORKDAYS.INTL(F2,G2,7) -1</f>
        <v>2</v>
      </c>
      <c r="E2" s="94">
        <f>NETWORKDAYS.INTL(F2,G2,7) -1</f>
        <v>2</v>
      </c>
      <c r="F2" s="7">
        <v>46015</v>
      </c>
      <c r="G2" s="7">
        <v>46019</v>
      </c>
      <c r="H2" s="45"/>
      <c r="I2" s="52"/>
      <c r="J2" s="42">
        <f>SUM(E2:E5)</f>
        <v>8</v>
      </c>
    </row>
    <row r="3" spans="1:10" s="6" customFormat="1" ht="15" thickBot="1" x14ac:dyDescent="0.25">
      <c r="A3" s="50"/>
      <c r="B3" s="80"/>
      <c r="C3" s="95" t="s">
        <v>15</v>
      </c>
      <c r="D3" s="94">
        <f t="shared" ref="D3:D4" si="0">NETWORKDAYS.INTL(F3,G3,7) -1</f>
        <v>2</v>
      </c>
      <c r="E3" s="94">
        <f t="shared" ref="E3:E4" si="1">NETWORKDAYS.INTL(F3,G3,7) -1</f>
        <v>2</v>
      </c>
      <c r="F3" s="7">
        <v>46015</v>
      </c>
      <c r="G3" s="7">
        <v>46019</v>
      </c>
      <c r="H3" s="45"/>
      <c r="I3" s="53"/>
      <c r="J3" s="43"/>
    </row>
    <row r="4" spans="1:10" s="6" customFormat="1" ht="15" thickBot="1" x14ac:dyDescent="0.25">
      <c r="A4" s="50"/>
      <c r="B4" s="80"/>
      <c r="C4" s="96" t="s">
        <v>2</v>
      </c>
      <c r="D4" s="94">
        <f t="shared" si="0"/>
        <v>2</v>
      </c>
      <c r="E4" s="94">
        <f t="shared" si="1"/>
        <v>2</v>
      </c>
      <c r="F4" s="7">
        <v>46015</v>
      </c>
      <c r="G4" s="7">
        <v>46019</v>
      </c>
      <c r="H4" s="45"/>
      <c r="I4" s="53"/>
      <c r="J4" s="43"/>
    </row>
    <row r="5" spans="1:10" s="6" customFormat="1" x14ac:dyDescent="0.2">
      <c r="A5" s="50"/>
      <c r="B5" s="80"/>
      <c r="C5" s="96" t="s">
        <v>21</v>
      </c>
      <c r="D5" s="94">
        <f>NETWORKDAYS.INTL(F5,G5,7) -1</f>
        <v>5</v>
      </c>
      <c r="E5" s="94">
        <v>2</v>
      </c>
      <c r="F5" s="93">
        <v>46026</v>
      </c>
      <c r="G5" s="93">
        <v>46033</v>
      </c>
      <c r="H5" s="45"/>
      <c r="I5" s="53"/>
      <c r="J5" s="43"/>
    </row>
    <row r="6" spans="1:10" s="6" customFormat="1" ht="34.5" x14ac:dyDescent="0.2">
      <c r="A6" s="50"/>
      <c r="B6" s="30"/>
      <c r="C6" s="96" t="s">
        <v>1</v>
      </c>
      <c r="D6" s="58">
        <v>46021</v>
      </c>
      <c r="E6" s="59"/>
      <c r="F6" s="59"/>
      <c r="G6" s="60"/>
      <c r="H6" s="45"/>
      <c r="I6" s="53"/>
      <c r="J6" s="43"/>
    </row>
    <row r="7" spans="1:10" ht="15" thickBot="1" x14ac:dyDescent="0.25">
      <c r="A7" s="102" t="s">
        <v>36</v>
      </c>
      <c r="B7" s="103"/>
      <c r="C7" s="103"/>
      <c r="D7" s="103"/>
      <c r="E7" s="103"/>
      <c r="F7" s="103"/>
      <c r="G7" s="103"/>
      <c r="H7" s="103"/>
      <c r="I7" s="103"/>
      <c r="J7" s="103"/>
    </row>
    <row r="8" spans="1:10" s="6" customFormat="1" ht="15" thickBot="1" x14ac:dyDescent="0.25">
      <c r="A8" s="50" t="s">
        <v>35</v>
      </c>
      <c r="B8" s="122" t="s">
        <v>37</v>
      </c>
      <c r="C8" s="108" t="s">
        <v>16</v>
      </c>
      <c r="D8" s="109">
        <f>NETWORKDAYS.INTL(F8,G8,7) -1</f>
        <v>1</v>
      </c>
      <c r="E8" s="109">
        <f t="shared" ref="E8:E10" si="2">NETWORKDAYS.INTL(F8,G8,7) -1</f>
        <v>1</v>
      </c>
      <c r="F8" s="123">
        <v>46022</v>
      </c>
      <c r="G8" s="13">
        <v>46023</v>
      </c>
      <c r="H8" s="51"/>
      <c r="I8" s="53"/>
      <c r="J8" s="42">
        <f>SUM(E8:E11)</f>
        <v>4</v>
      </c>
    </row>
    <row r="9" spans="1:10" s="6" customFormat="1" ht="15" thickBot="1" x14ac:dyDescent="0.25">
      <c r="A9" s="50"/>
      <c r="B9" s="80"/>
      <c r="C9" s="95" t="s">
        <v>15</v>
      </c>
      <c r="D9" s="94">
        <f t="shared" ref="D9:D10" si="3">NETWORKDAYS.INTL(F9,G9,7) -1</f>
        <v>1</v>
      </c>
      <c r="E9" s="94">
        <f t="shared" si="2"/>
        <v>1</v>
      </c>
      <c r="F9" s="7">
        <v>46026</v>
      </c>
      <c r="G9" s="7">
        <v>46027</v>
      </c>
      <c r="H9" s="45"/>
      <c r="I9" s="53"/>
      <c r="J9" s="43"/>
    </row>
    <row r="10" spans="1:10" s="6" customFormat="1" ht="15" thickBot="1" x14ac:dyDescent="0.25">
      <c r="A10" s="50"/>
      <c r="B10" s="80"/>
      <c r="C10" s="96" t="s">
        <v>2</v>
      </c>
      <c r="D10" s="94">
        <f t="shared" si="3"/>
        <v>1</v>
      </c>
      <c r="E10" s="94">
        <f t="shared" si="2"/>
        <v>1</v>
      </c>
      <c r="F10" s="7">
        <v>46027</v>
      </c>
      <c r="G10" s="7">
        <v>46028</v>
      </c>
      <c r="H10" s="45"/>
      <c r="I10" s="53"/>
      <c r="J10" s="43"/>
    </row>
    <row r="11" spans="1:10" s="6" customFormat="1" x14ac:dyDescent="0.2">
      <c r="A11" s="50"/>
      <c r="B11" s="80"/>
      <c r="C11" s="96" t="s">
        <v>21</v>
      </c>
      <c r="D11" s="94">
        <f>NETWORKDAYS.INTL(F11,G11,7) -1</f>
        <v>4</v>
      </c>
      <c r="E11" s="94">
        <v>1</v>
      </c>
      <c r="F11" s="93">
        <v>46033</v>
      </c>
      <c r="G11" s="93">
        <v>46037</v>
      </c>
      <c r="H11" s="45"/>
      <c r="I11" s="53"/>
      <c r="J11" s="43"/>
    </row>
    <row r="12" spans="1:10" s="6" customFormat="1" ht="34.5" x14ac:dyDescent="0.2">
      <c r="A12" s="50"/>
      <c r="B12" s="110"/>
      <c r="C12" s="98" t="s">
        <v>1</v>
      </c>
      <c r="D12" s="67">
        <v>46033</v>
      </c>
      <c r="E12" s="59"/>
      <c r="F12" s="59"/>
      <c r="G12" s="68"/>
      <c r="H12" s="49"/>
      <c r="I12" s="53"/>
      <c r="J12" s="43"/>
    </row>
    <row r="13" spans="1:10" ht="15" thickBot="1" x14ac:dyDescent="0.25">
      <c r="A13" s="124" t="s">
        <v>34</v>
      </c>
      <c r="B13" s="125"/>
      <c r="C13" s="125"/>
      <c r="D13" s="125"/>
      <c r="E13" s="125"/>
      <c r="F13" s="125"/>
      <c r="G13" s="125"/>
      <c r="H13" s="125"/>
      <c r="I13" s="125"/>
      <c r="J13" s="126"/>
    </row>
    <row r="14" spans="1:10" s="6" customFormat="1" ht="15" thickBot="1" x14ac:dyDescent="0.25">
      <c r="A14" s="45" t="s">
        <v>33</v>
      </c>
      <c r="B14" s="111" t="s">
        <v>34</v>
      </c>
      <c r="C14" s="108" t="s">
        <v>16</v>
      </c>
      <c r="D14" s="127">
        <f>NETWORKDAYS.INTL(F14,G14,7) -1</f>
        <v>0</v>
      </c>
      <c r="E14" s="19">
        <v>0.5</v>
      </c>
      <c r="F14" s="128">
        <v>46033</v>
      </c>
      <c r="G14" s="128">
        <v>46033</v>
      </c>
      <c r="H14" s="112"/>
      <c r="I14" s="40"/>
      <c r="J14" s="42">
        <f>SUM(E14:E17)</f>
        <v>3.5</v>
      </c>
    </row>
    <row r="15" spans="1:10" s="6" customFormat="1" ht="15" thickBot="1" x14ac:dyDescent="0.25">
      <c r="A15" s="45"/>
      <c r="B15" s="80"/>
      <c r="C15" s="95" t="s">
        <v>15</v>
      </c>
      <c r="D15" s="127">
        <f t="shared" ref="D15:D17" si="4">NETWORKDAYS.INTL(F15,G15,7) -1</f>
        <v>1</v>
      </c>
      <c r="E15" s="19">
        <v>1</v>
      </c>
      <c r="F15" s="128">
        <v>46033</v>
      </c>
      <c r="G15" s="93">
        <v>46034</v>
      </c>
      <c r="H15" s="37"/>
      <c r="I15" s="40"/>
      <c r="J15" s="43"/>
    </row>
    <row r="16" spans="1:10" s="6" customFormat="1" ht="15" thickBot="1" x14ac:dyDescent="0.25">
      <c r="A16" s="45"/>
      <c r="B16" s="80"/>
      <c r="C16" s="96" t="s">
        <v>2</v>
      </c>
      <c r="D16" s="127">
        <f t="shared" si="4"/>
        <v>1</v>
      </c>
      <c r="E16" s="19">
        <v>1</v>
      </c>
      <c r="F16" s="93">
        <v>46034</v>
      </c>
      <c r="G16" s="93">
        <v>46035</v>
      </c>
      <c r="H16" s="37"/>
      <c r="I16" s="40"/>
      <c r="J16" s="43"/>
    </row>
    <row r="17" spans="1:10" s="6" customFormat="1" x14ac:dyDescent="0.2">
      <c r="A17" s="45"/>
      <c r="B17" s="80"/>
      <c r="C17" s="96" t="s">
        <v>21</v>
      </c>
      <c r="D17" s="127">
        <f t="shared" si="4"/>
        <v>2</v>
      </c>
      <c r="E17" s="19">
        <v>1</v>
      </c>
      <c r="F17" s="93">
        <v>46035</v>
      </c>
      <c r="G17" s="93">
        <v>46037</v>
      </c>
      <c r="H17" s="37"/>
      <c r="I17" s="40"/>
      <c r="J17" s="43"/>
    </row>
    <row r="18" spans="1:10" s="6" customFormat="1" ht="35.25" thickBot="1" x14ac:dyDescent="0.25">
      <c r="A18" s="45"/>
      <c r="B18" s="80"/>
      <c r="C18" s="96" t="s">
        <v>1</v>
      </c>
      <c r="D18" s="67">
        <v>46035</v>
      </c>
      <c r="E18" s="59"/>
      <c r="F18" s="59"/>
      <c r="G18" s="68"/>
      <c r="H18" s="37"/>
      <c r="I18" s="40"/>
      <c r="J18" s="43"/>
    </row>
    <row r="19" spans="1:10" ht="15" thickBot="1" x14ac:dyDescent="0.25">
      <c r="A19" s="149" t="s">
        <v>32</v>
      </c>
      <c r="B19" s="150"/>
      <c r="C19" s="150"/>
      <c r="D19" s="150"/>
      <c r="E19" s="150"/>
      <c r="F19" s="150"/>
      <c r="G19" s="150"/>
      <c r="H19" s="150"/>
      <c r="I19" s="150"/>
      <c r="J19" s="151"/>
    </row>
  </sheetData>
  <mergeCells count="21">
    <mergeCell ref="I14:I18"/>
    <mergeCell ref="J14:J18"/>
    <mergeCell ref="D18:G18"/>
    <mergeCell ref="A19:J19"/>
    <mergeCell ref="A7:J7"/>
    <mergeCell ref="D12:G12"/>
    <mergeCell ref="I8:I12"/>
    <mergeCell ref="J8:J12"/>
    <mergeCell ref="A8:A12"/>
    <mergeCell ref="B8:B12"/>
    <mergeCell ref="H8:H12"/>
    <mergeCell ref="J2:J6"/>
    <mergeCell ref="A2:A6"/>
    <mergeCell ref="B2:B6"/>
    <mergeCell ref="H2:H6"/>
    <mergeCell ref="I2:I6"/>
    <mergeCell ref="D6:G6"/>
    <mergeCell ref="A13:J13"/>
    <mergeCell ref="A14:A18"/>
    <mergeCell ref="B14:B18"/>
    <mergeCell ref="H14:H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6"/>
  <sheetViews>
    <sheetView rightToLeft="1" workbookViewId="0">
      <selection activeCell="A26" sqref="A26:J26"/>
    </sheetView>
  </sheetViews>
  <sheetFormatPr defaultRowHeight="14.25" x14ac:dyDescent="0.2"/>
  <cols>
    <col min="1" max="1" width="9.375" style="1" bestFit="1" customWidth="1"/>
    <col min="2" max="2" width="22.625" style="1" customWidth="1"/>
    <col min="3" max="3" width="25.875" style="1" customWidth="1"/>
    <col min="4" max="4" width="7.75" style="2" bestFit="1" customWidth="1"/>
    <col min="5" max="5" width="5.25" style="2" bestFit="1" customWidth="1"/>
    <col min="6" max="6" width="6.75" style="2" bestFit="1" customWidth="1"/>
    <col min="7" max="7" width="9" style="2" bestFit="1" customWidth="1"/>
    <col min="8" max="8" width="24.5" style="1" customWidth="1"/>
    <col min="9" max="9" width="9.75" style="1" bestFit="1" customWidth="1"/>
    <col min="10" max="10" width="10.125" style="1" bestFit="1" customWidth="1"/>
    <col min="11" max="16384" width="9" style="1"/>
  </cols>
  <sheetData>
    <row r="1" spans="1:10" ht="39.75" customHeight="1" x14ac:dyDescent="0.2">
      <c r="A1" s="139" t="s">
        <v>14</v>
      </c>
      <c r="B1" s="140" t="s">
        <v>13</v>
      </c>
      <c r="C1" s="140" t="s">
        <v>12</v>
      </c>
      <c r="D1" s="141" t="s">
        <v>10</v>
      </c>
      <c r="E1" s="141" t="s">
        <v>9</v>
      </c>
      <c r="F1" s="141" t="s">
        <v>8</v>
      </c>
      <c r="G1" s="140" t="s">
        <v>7</v>
      </c>
      <c r="H1" s="140" t="s">
        <v>6</v>
      </c>
      <c r="I1" s="140" t="s">
        <v>4</v>
      </c>
      <c r="J1" s="142" t="s">
        <v>3</v>
      </c>
    </row>
    <row r="2" spans="1:10" ht="15" thickBot="1" x14ac:dyDescent="0.25">
      <c r="A2" s="143" t="s">
        <v>19</v>
      </c>
      <c r="B2" s="103"/>
      <c r="C2" s="103"/>
      <c r="D2" s="103"/>
      <c r="E2" s="103"/>
      <c r="F2" s="103"/>
      <c r="G2" s="103"/>
      <c r="H2" s="103"/>
      <c r="I2" s="103"/>
      <c r="J2" s="144"/>
    </row>
    <row r="3" spans="1:10" s="6" customFormat="1" ht="15" thickBot="1" x14ac:dyDescent="0.25">
      <c r="A3" s="27" t="s">
        <v>18</v>
      </c>
      <c r="B3" s="122" t="s">
        <v>19</v>
      </c>
      <c r="C3" s="88" t="s">
        <v>20</v>
      </c>
      <c r="D3" s="94">
        <f t="shared" ref="D3:D6" si="0">NETWORKDAYS.INTL(F3,G3,7) -1</f>
        <v>2</v>
      </c>
      <c r="E3" s="109">
        <f>NETWORKDAYS.INTL(F3,G3,7) -1</f>
        <v>2</v>
      </c>
      <c r="F3" s="13">
        <v>46015</v>
      </c>
      <c r="G3" s="13">
        <v>46019</v>
      </c>
      <c r="H3" s="51"/>
      <c r="I3" s="53"/>
      <c r="J3" s="106">
        <f>SUM(E3:E6)</f>
        <v>17</v>
      </c>
    </row>
    <row r="4" spans="1:10" s="6" customFormat="1" ht="15" thickBot="1" x14ac:dyDescent="0.25">
      <c r="A4" s="27"/>
      <c r="B4" s="80"/>
      <c r="C4" s="95" t="s">
        <v>22</v>
      </c>
      <c r="D4" s="94">
        <f t="shared" si="0"/>
        <v>5</v>
      </c>
      <c r="E4" s="94">
        <f t="shared" ref="E4:E6" si="1">NETWORKDAYS.INTL(F4,G4,7) -1</f>
        <v>5</v>
      </c>
      <c r="F4" s="7">
        <v>46019</v>
      </c>
      <c r="G4" s="7">
        <v>46026</v>
      </c>
      <c r="H4" s="45"/>
      <c r="I4" s="53"/>
      <c r="J4" s="114"/>
    </row>
    <row r="5" spans="1:10" s="6" customFormat="1" ht="15" thickBot="1" x14ac:dyDescent="0.25">
      <c r="A5" s="27"/>
      <c r="B5" s="30"/>
      <c r="C5" s="89" t="s">
        <v>2</v>
      </c>
      <c r="D5" s="94">
        <f t="shared" si="0"/>
        <v>5</v>
      </c>
      <c r="E5" s="94">
        <f t="shared" si="1"/>
        <v>5</v>
      </c>
      <c r="F5" s="7">
        <v>46026</v>
      </c>
      <c r="G5" s="93">
        <v>46033</v>
      </c>
      <c r="H5" s="45"/>
      <c r="I5" s="53"/>
      <c r="J5" s="114"/>
    </row>
    <row r="6" spans="1:10" s="6" customFormat="1" x14ac:dyDescent="0.2">
      <c r="A6" s="27"/>
      <c r="B6" s="30"/>
      <c r="C6" s="89" t="s">
        <v>21</v>
      </c>
      <c r="D6" s="94">
        <f t="shared" si="0"/>
        <v>5</v>
      </c>
      <c r="E6" s="94">
        <f t="shared" si="1"/>
        <v>5</v>
      </c>
      <c r="F6" s="93">
        <v>46033</v>
      </c>
      <c r="G6" s="93">
        <v>46040</v>
      </c>
      <c r="H6" s="45"/>
      <c r="I6" s="53"/>
      <c r="J6" s="114"/>
    </row>
    <row r="7" spans="1:10" s="6" customFormat="1" ht="34.5" x14ac:dyDescent="0.2">
      <c r="A7" s="27"/>
      <c r="B7" s="110"/>
      <c r="C7" s="121" t="s">
        <v>1</v>
      </c>
      <c r="D7" s="99">
        <v>46026</v>
      </c>
      <c r="E7" s="100"/>
      <c r="F7" s="100"/>
      <c r="G7" s="101"/>
      <c r="H7" s="49"/>
      <c r="I7" s="53"/>
      <c r="J7" s="113"/>
    </row>
    <row r="8" spans="1:10" x14ac:dyDescent="0.2">
      <c r="A8" s="152" t="s">
        <v>27</v>
      </c>
      <c r="B8" s="153"/>
      <c r="C8" s="153"/>
      <c r="D8" s="153"/>
      <c r="E8" s="153"/>
      <c r="F8" s="153"/>
      <c r="G8" s="153"/>
      <c r="H8" s="153"/>
      <c r="I8" s="153"/>
      <c r="J8" s="154"/>
    </row>
    <row r="9" spans="1:10" s="6" customFormat="1" ht="15" thickBot="1" x14ac:dyDescent="0.25">
      <c r="A9" s="27" t="s">
        <v>23</v>
      </c>
      <c r="B9" s="122" t="s">
        <v>27</v>
      </c>
      <c r="C9" s="108" t="s">
        <v>16</v>
      </c>
      <c r="D9" s="109">
        <f>NETWORKDAYS.INTL(F9,G9,7) -1</f>
        <v>1</v>
      </c>
      <c r="E9" s="109">
        <f t="shared" ref="E9:E12" si="2">NETWORKDAYS.INTL(F9,G9,7) -1</f>
        <v>1</v>
      </c>
      <c r="F9" s="123">
        <v>46022</v>
      </c>
      <c r="G9" s="13">
        <v>46023</v>
      </c>
      <c r="H9" s="51"/>
      <c r="I9" s="53"/>
      <c r="J9" s="106">
        <f>SUM(E9:E12)</f>
        <v>7</v>
      </c>
    </row>
    <row r="10" spans="1:10" s="6" customFormat="1" ht="15" thickBot="1" x14ac:dyDescent="0.25">
      <c r="A10" s="27"/>
      <c r="B10" s="80"/>
      <c r="C10" s="95" t="s">
        <v>15</v>
      </c>
      <c r="D10" s="94">
        <f t="shared" ref="D10:D11" si="3">NETWORKDAYS.INTL(F10,G10,7) -1</f>
        <v>1</v>
      </c>
      <c r="E10" s="94">
        <f t="shared" si="2"/>
        <v>1</v>
      </c>
      <c r="F10" s="7">
        <v>46026</v>
      </c>
      <c r="G10" s="7">
        <v>46027</v>
      </c>
      <c r="H10" s="45"/>
      <c r="I10" s="53"/>
      <c r="J10" s="114"/>
    </row>
    <row r="11" spans="1:10" s="6" customFormat="1" ht="15" thickBot="1" x14ac:dyDescent="0.25">
      <c r="A11" s="27"/>
      <c r="B11" s="80"/>
      <c r="C11" s="96" t="s">
        <v>2</v>
      </c>
      <c r="D11" s="94">
        <f t="shared" si="3"/>
        <v>1</v>
      </c>
      <c r="E11" s="94">
        <f t="shared" si="2"/>
        <v>1</v>
      </c>
      <c r="F11" s="7">
        <v>46027</v>
      </c>
      <c r="G11" s="7">
        <v>46028</v>
      </c>
      <c r="H11" s="45"/>
      <c r="I11" s="53"/>
      <c r="J11" s="114"/>
    </row>
    <row r="12" spans="1:10" s="6" customFormat="1" x14ac:dyDescent="0.2">
      <c r="A12" s="27"/>
      <c r="B12" s="80"/>
      <c r="C12" s="96" t="s">
        <v>21</v>
      </c>
      <c r="D12" s="94">
        <f>NETWORKDAYS.INTL(F12,G12,7) -1</f>
        <v>4</v>
      </c>
      <c r="E12" s="94">
        <f t="shared" si="2"/>
        <v>4</v>
      </c>
      <c r="F12" s="93">
        <v>46033</v>
      </c>
      <c r="G12" s="93">
        <v>46037</v>
      </c>
      <c r="H12" s="45"/>
      <c r="I12" s="53"/>
      <c r="J12" s="114"/>
    </row>
    <row r="13" spans="1:10" s="6" customFormat="1" ht="34.5" x14ac:dyDescent="0.2">
      <c r="A13" s="27"/>
      <c r="B13" s="110"/>
      <c r="C13" s="98" t="s">
        <v>1</v>
      </c>
      <c r="D13" s="67">
        <v>46033</v>
      </c>
      <c r="E13" s="59"/>
      <c r="F13" s="59"/>
      <c r="G13" s="68"/>
      <c r="H13" s="49"/>
      <c r="I13" s="53"/>
      <c r="J13" s="113"/>
    </row>
    <row r="14" spans="1:10" x14ac:dyDescent="0.2">
      <c r="A14" s="152" t="s">
        <v>28</v>
      </c>
      <c r="B14" s="153"/>
      <c r="C14" s="153"/>
      <c r="D14" s="155"/>
      <c r="E14" s="155"/>
      <c r="F14" s="155"/>
      <c r="G14" s="155"/>
      <c r="H14" s="153"/>
      <c r="I14" s="153"/>
      <c r="J14" s="154"/>
    </row>
    <row r="15" spans="1:10" s="6" customFormat="1" x14ac:dyDescent="0.2">
      <c r="A15" s="27" t="s">
        <v>23</v>
      </c>
      <c r="B15" s="111" t="s">
        <v>28</v>
      </c>
      <c r="C15" s="108" t="s">
        <v>16</v>
      </c>
      <c r="D15" s="129">
        <f t="shared" ref="D15:D17" si="4">NETWORKDAYS.INTL(F15,G15,7) -1</f>
        <v>2</v>
      </c>
      <c r="E15" s="129">
        <f t="shared" ref="E15:E17" si="5">NETWORKDAYS.INTL(F15,G15,7) -1</f>
        <v>2</v>
      </c>
      <c r="F15" s="18">
        <v>45924</v>
      </c>
      <c r="G15" s="18">
        <v>45928</v>
      </c>
      <c r="H15" s="112"/>
      <c r="I15" s="52"/>
      <c r="J15" s="24">
        <f>SUM(E15:E18)</f>
        <v>12</v>
      </c>
    </row>
    <row r="16" spans="1:10" s="6" customFormat="1" x14ac:dyDescent="0.2">
      <c r="A16" s="27"/>
      <c r="B16" s="80"/>
      <c r="C16" s="95" t="s">
        <v>15</v>
      </c>
      <c r="D16" s="129">
        <f t="shared" si="4"/>
        <v>4</v>
      </c>
      <c r="E16" s="129">
        <f t="shared" si="5"/>
        <v>4</v>
      </c>
      <c r="F16" s="18">
        <v>46019</v>
      </c>
      <c r="G16" s="18">
        <v>46023</v>
      </c>
      <c r="H16" s="37"/>
      <c r="I16" s="53"/>
      <c r="J16" s="24"/>
    </row>
    <row r="17" spans="1:10" s="6" customFormat="1" x14ac:dyDescent="0.2">
      <c r="A17" s="27"/>
      <c r="B17" s="80"/>
      <c r="C17" s="96" t="s">
        <v>2</v>
      </c>
      <c r="D17" s="129">
        <f t="shared" si="4"/>
        <v>5</v>
      </c>
      <c r="E17" s="129">
        <f t="shared" si="5"/>
        <v>5</v>
      </c>
      <c r="F17" s="18">
        <v>46026</v>
      </c>
      <c r="G17" s="18">
        <v>46033</v>
      </c>
      <c r="H17" s="37"/>
      <c r="I17" s="53"/>
      <c r="J17" s="24"/>
    </row>
    <row r="18" spans="1:10" s="6" customFormat="1" x14ac:dyDescent="0.2">
      <c r="A18" s="27"/>
      <c r="B18" s="80"/>
      <c r="C18" s="96" t="s">
        <v>21</v>
      </c>
      <c r="D18" s="129">
        <f>NETWORKDAYS.INTL(F18,G18,7) -1</f>
        <v>5</v>
      </c>
      <c r="E18" s="129">
        <v>1</v>
      </c>
      <c r="F18" s="18">
        <v>46033</v>
      </c>
      <c r="G18" s="18">
        <v>46040</v>
      </c>
      <c r="H18" s="37"/>
      <c r="I18" s="53"/>
      <c r="J18" s="24"/>
    </row>
    <row r="19" spans="1:10" s="6" customFormat="1" ht="34.5" x14ac:dyDescent="0.2">
      <c r="A19" s="27"/>
      <c r="B19" s="80"/>
      <c r="C19" s="96" t="s">
        <v>1</v>
      </c>
      <c r="D19" s="67">
        <v>46033</v>
      </c>
      <c r="E19" s="59"/>
      <c r="F19" s="59"/>
      <c r="G19" s="68"/>
      <c r="H19" s="37"/>
      <c r="I19" s="54"/>
      <c r="J19" s="24"/>
    </row>
    <row r="20" spans="1:10" ht="15" thickBot="1" x14ac:dyDescent="0.25">
      <c r="A20" s="156"/>
      <c r="B20" s="157"/>
      <c r="C20" s="157"/>
      <c r="D20" s="157"/>
      <c r="E20" s="157"/>
      <c r="F20" s="157"/>
      <c r="G20" s="157"/>
      <c r="H20" s="157"/>
      <c r="I20" s="157"/>
      <c r="J20" s="158"/>
    </row>
    <row r="21" spans="1:10" s="6" customFormat="1" ht="15" thickBot="1" x14ac:dyDescent="0.25">
      <c r="A21" s="145" t="s">
        <v>17</v>
      </c>
      <c r="B21" s="111" t="s">
        <v>31</v>
      </c>
      <c r="C21" s="108" t="s">
        <v>16</v>
      </c>
      <c r="D21" s="127">
        <f>NETWORKDAYS.INTL(F21,G21,7) -1</f>
        <v>4</v>
      </c>
      <c r="E21" s="19">
        <v>1</v>
      </c>
      <c r="F21" s="128">
        <v>46033</v>
      </c>
      <c r="G21" s="93">
        <v>46037</v>
      </c>
      <c r="H21" s="112"/>
      <c r="I21" s="40"/>
      <c r="J21" s="106">
        <f>SUM(E21:E24)</f>
        <v>4</v>
      </c>
    </row>
    <row r="22" spans="1:10" s="6" customFormat="1" ht="15" thickBot="1" x14ac:dyDescent="0.25">
      <c r="A22" s="145"/>
      <c r="B22" s="80"/>
      <c r="C22" s="95" t="s">
        <v>15</v>
      </c>
      <c r="D22" s="127">
        <f t="shared" ref="D22:D24" si="6">NETWORKDAYS.INTL(F22,G22,7) -1</f>
        <v>4</v>
      </c>
      <c r="E22" s="19">
        <v>1</v>
      </c>
      <c r="F22" s="128">
        <v>46033</v>
      </c>
      <c r="G22" s="93">
        <v>46037</v>
      </c>
      <c r="H22" s="37"/>
      <c r="I22" s="40"/>
      <c r="J22" s="114"/>
    </row>
    <row r="23" spans="1:10" s="6" customFormat="1" ht="15" thickBot="1" x14ac:dyDescent="0.25">
      <c r="A23" s="145"/>
      <c r="B23" s="80"/>
      <c r="C23" s="96" t="s">
        <v>2</v>
      </c>
      <c r="D23" s="127">
        <f t="shared" si="6"/>
        <v>4</v>
      </c>
      <c r="E23" s="19">
        <v>1</v>
      </c>
      <c r="F23" s="128">
        <v>46033</v>
      </c>
      <c r="G23" s="93">
        <v>46037</v>
      </c>
      <c r="H23" s="37"/>
      <c r="I23" s="40"/>
      <c r="J23" s="114"/>
    </row>
    <row r="24" spans="1:10" s="6" customFormat="1" x14ac:dyDescent="0.2">
      <c r="A24" s="145"/>
      <c r="B24" s="80"/>
      <c r="C24" s="96" t="s">
        <v>2</v>
      </c>
      <c r="D24" s="127">
        <f t="shared" si="6"/>
        <v>4</v>
      </c>
      <c r="E24" s="19">
        <v>1</v>
      </c>
      <c r="F24" s="128">
        <v>46033</v>
      </c>
      <c r="G24" s="93">
        <v>46037</v>
      </c>
      <c r="H24" s="37"/>
      <c r="I24" s="40"/>
      <c r="J24" s="114"/>
    </row>
    <row r="25" spans="1:10" s="6" customFormat="1" ht="35.25" thickBot="1" x14ac:dyDescent="0.25">
      <c r="A25" s="146"/>
      <c r="B25" s="104"/>
      <c r="C25" s="98" t="s">
        <v>1</v>
      </c>
      <c r="D25" s="147">
        <v>46033</v>
      </c>
      <c r="E25" s="100"/>
      <c r="F25" s="100"/>
      <c r="G25" s="148"/>
      <c r="H25" s="105"/>
      <c r="I25" s="52"/>
      <c r="J25" s="114"/>
    </row>
    <row r="26" spans="1:10" ht="19.5" customHeight="1" thickBot="1" x14ac:dyDescent="0.25">
      <c r="A26" s="149" t="s">
        <v>32</v>
      </c>
      <c r="B26" s="150"/>
      <c r="C26" s="150"/>
      <c r="D26" s="150"/>
      <c r="E26" s="150"/>
      <c r="F26" s="150"/>
      <c r="G26" s="150"/>
      <c r="H26" s="150"/>
      <c r="I26" s="150"/>
      <c r="J26" s="151"/>
    </row>
  </sheetData>
  <mergeCells count="29">
    <mergeCell ref="A26:J26"/>
    <mergeCell ref="J15:J19"/>
    <mergeCell ref="D19:G19"/>
    <mergeCell ref="A20:J20"/>
    <mergeCell ref="A21:A25"/>
    <mergeCell ref="B21:B25"/>
    <mergeCell ref="H21:H25"/>
    <mergeCell ref="I21:I25"/>
    <mergeCell ref="J21:J25"/>
    <mergeCell ref="D25:G25"/>
    <mergeCell ref="A8:J8"/>
    <mergeCell ref="A9:A13"/>
    <mergeCell ref="B9:B13"/>
    <mergeCell ref="H9:H13"/>
    <mergeCell ref="I9:I13"/>
    <mergeCell ref="J9:J13"/>
    <mergeCell ref="D13:G13"/>
    <mergeCell ref="A2:J2"/>
    <mergeCell ref="A3:A7"/>
    <mergeCell ref="B3:B7"/>
    <mergeCell ref="H3:H7"/>
    <mergeCell ref="I3:I7"/>
    <mergeCell ref="J3:J7"/>
    <mergeCell ref="D7:G7"/>
    <mergeCell ref="A14:J14"/>
    <mergeCell ref="A15:A19"/>
    <mergeCell ref="B15:B19"/>
    <mergeCell ref="H15:H19"/>
    <mergeCell ref="I15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נריה ג'פרי</vt:lpstr>
      <vt:lpstr>חן כהן</vt:lpstr>
      <vt:lpstr>אלי מהאודי</vt:lpstr>
      <vt:lpstr>נטלי ששון</vt:lpstr>
      <vt:lpstr>אירינה קרלש</vt:lpstr>
      <vt:lpstr>יוסף אסייג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ספישווילי יעקב</cp:lastModifiedBy>
  <dcterms:created xsi:type="dcterms:W3CDTF">2025-08-13T09:08:42Z</dcterms:created>
  <dcterms:modified xsi:type="dcterms:W3CDTF">2025-12-25T08:35:18Z</dcterms:modified>
</cp:coreProperties>
</file>